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Z:\Data Projects\Analytics Projects\Machine Learning\Municipal Budget Forecasting\"/>
    </mc:Choice>
  </mc:AlternateContent>
  <xr:revisionPtr revIDLastSave="0" documentId="13_ncr:1_{AF889A9B-A24C-44FE-B71A-B5517ABD169C}" xr6:coauthVersionLast="47" xr6:coauthVersionMax="47" xr10:uidLastSave="{00000000-0000-0000-0000-000000000000}"/>
  <bookViews>
    <workbookView xWindow="-98" yWindow="-98" windowWidth="28996" windowHeight="15675" activeTab="1" xr2:uid="{DCEE206C-1916-46C7-8543-6A405BD44B34}"/>
  </bookViews>
  <sheets>
    <sheet name="Deparment_Spending" sheetId="2" r:id="rId1"/>
    <sheet name="Cleaned Data" sheetId="3" r:id="rId2"/>
  </sheets>
  <definedNames>
    <definedName name="_xlcn.WorksheetConnection_BudgetForecasting.xlsxDeparment_Spending1" hidden="1">Deparment_Spending[]</definedName>
    <definedName name="ExternalData_1" localSheetId="0" hidden="1">Deparment_Spending!$A$1:$Q$606</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parment_Spending" name="Deparment_Spending" connection="WorksheetConnection_Budget Forecasting.xlsx!Deparment_Spending"/>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 i="3" l="1" a="1"/>
  <c r="A2" i="3" l="1"/>
  <c r="A3" i="3" a="1"/>
  <c r="A3" i="3" l="1"/>
  <c r="A4" i="3" a="1"/>
  <c r="A4" i="3" l="1"/>
  <c r="A5" i="3" a="1"/>
  <c r="A5" i="3" l="1"/>
  <c r="A7" i="3" a="1"/>
  <c r="D9" i="3" a="1"/>
  <c r="A7" i="3" l="1"/>
  <c r="D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E33022-D495-4F5E-B231-DE9CAA083EED}" keepAlive="1" name="Query - Deparment_Spending" description="Connection to the 'Deparment_Spending' query in the workbook." type="5" refreshedVersion="8" background="1" saveData="1">
    <dbPr connection="Provider=Microsoft.Mashup.OleDb.1;Data Source=$Workbook$;Location=Deparment_Spending;Extended Properties=&quot;&quot;" command="SELECT * FROM [Deparment_Spending]"/>
  </connection>
  <connection id="2" xr16:uid="{6BE4B9F2-CBDC-4CEC-B11E-9D16C7D8FE1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D4BEE84-6836-4BE4-8D46-E2052C767ED9}" name="WorksheetConnection_Budget Forecasting.xlsx!Deparment_Spending" type="102" refreshedVersion="8" minRefreshableVersion="5">
    <extLst>
      <ext xmlns:x15="http://schemas.microsoft.com/office/spreadsheetml/2010/11/main" uri="{DE250136-89BD-433C-8126-D09CA5730AF9}">
        <x15:connection id="Deparment_Spending">
          <x15:rangePr sourceName="_xlcn.WorksheetConnection_BudgetForecasting.xlsxDeparment_Spending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 xml:space="preserve">import pandas as pd
import numpy as np
import datetime as dt
from sklearn.linear_model import LinearRegression
from sklearn.metrics import mean_absolute_error, mean_squared_error, r2_score
df = xl(%P2%, headers=True)
</code>
    </pythonScript>
    <pythonScript>
      <code>df['Vacant_Positions'] = df['Vacant_Positions'].fillna(df['Vacant_Positions'].mean().round())
df['Overtime_Hours'] = df['Overtime_Hours'].fillna(df['Overtime_Hours'].mean().round())
df['Encumbered_Amount'] = df['Encumbered_Amount'].fillna(df['Encumbered_Amount'].mean().round())</code>
    </pythonScript>
    <pythonScript>
      <code>df['Month'] = df['Date'].dt.month_name()
df = df.drop(columns='Date')</code>
    </pythonScript>
    <pythonScript>
      <code>df = pd.get_dummies(df, columns=['Month'], dtype=int).drop(columns='Month_October')</code>
    </pythonScript>
    <pythonScript>
      <code>df = pd.get_dummies(df, columns=['Department'], dtype=int).drop(columns='Department_HUMAN RESOURCES')</code>
    </pythonScript>
    <pythonScript>
      <code>df</code>
    </pythonScript>
  </pythonScripts>
</python>
</file>

<file path=xl/sharedStrings.xml><?xml version="1.0" encoding="utf-8"?>
<sst xmlns="http://schemas.openxmlformats.org/spreadsheetml/2006/main" count="627" uniqueCount="36">
  <si>
    <t>Fiscal_Year</t>
  </si>
  <si>
    <t>Fiscal_Month</t>
  </si>
  <si>
    <t>Department</t>
  </si>
  <si>
    <t>Annual_Approved_Budget</t>
  </si>
  <si>
    <t>Actual_Expenditure</t>
  </si>
  <si>
    <t>Personnel_Cost</t>
  </si>
  <si>
    <t>Operating_Cost</t>
  </si>
  <si>
    <t>Capital_Cost</t>
  </si>
  <si>
    <t>Filled_Positions</t>
  </si>
  <si>
    <t>Vacant_Positions</t>
  </si>
  <si>
    <t>Overtime_Hours</t>
  </si>
  <si>
    <t>Active_Projects</t>
  </si>
  <si>
    <t>Open_Purchase_Orders</t>
  </si>
  <si>
    <t>Encumbered_Amount</t>
  </si>
  <si>
    <t>Fuel_Price_Index</t>
  </si>
  <si>
    <t>CPI_Index</t>
  </si>
  <si>
    <t>IT</t>
  </si>
  <si>
    <t>GENERAL SERVICES</t>
  </si>
  <si>
    <t>HUMAN RESOURCES</t>
  </si>
  <si>
    <t>FINANCE</t>
  </si>
  <si>
    <t xml:space="preserve">PUBLIC WORKS </t>
  </si>
  <si>
    <t>PARKS &amp; RECREATION</t>
  </si>
  <si>
    <t>INFORMATION TECHNOLOGY</t>
  </si>
  <si>
    <t>UTILITIES</t>
  </si>
  <si>
    <t>PUBLIC WORKS</t>
  </si>
  <si>
    <t>PLANNING &amp; ZONING</t>
  </si>
  <si>
    <t>PARKS AND RECREATION</t>
  </si>
  <si>
    <t>POLICE</t>
  </si>
  <si>
    <t>FIRE RESCUE</t>
  </si>
  <si>
    <t>FIRE &amp; RESCUE</t>
  </si>
  <si>
    <t>Cleaning Steps</t>
  </si>
  <si>
    <t>Date</t>
  </si>
  <si>
    <t>#1 Read in data into Python and created dataframe</t>
  </si>
  <si>
    <r>
      <t>#3 Forcasting model cannot natively handle date data types. So I extracted month name from date and removed date column from dataset(</t>
    </r>
    <r>
      <rPr>
        <b/>
        <sz val="11"/>
        <color theme="1"/>
        <rFont val="Aptos Narrow"/>
        <family val="2"/>
        <scheme val="minor"/>
      </rPr>
      <t xml:space="preserve">Modified Columns: </t>
    </r>
    <r>
      <rPr>
        <b/>
        <sz val="11"/>
        <color rgb="FF0000FF"/>
        <rFont val="Aptos Narrow"/>
        <family val="2"/>
        <scheme val="minor"/>
      </rPr>
      <t>Date and Month)</t>
    </r>
    <r>
      <rPr>
        <sz val="11"/>
        <color theme="1"/>
        <rFont val="Aptos Narrow"/>
        <family val="2"/>
        <scheme val="minor"/>
      </rPr>
      <t>.</t>
    </r>
  </si>
  <si>
    <r>
      <t>#2 Forcasting model cannot natively handle missing values. Imputing the mean/average by column (</t>
    </r>
    <r>
      <rPr>
        <b/>
        <sz val="11"/>
        <color theme="1"/>
        <rFont val="Aptos Narrow"/>
        <family val="2"/>
        <scheme val="minor"/>
      </rPr>
      <t>Modified Columns:</t>
    </r>
    <r>
      <rPr>
        <sz val="11"/>
        <color theme="1"/>
        <rFont val="Aptos Narrow"/>
        <family val="2"/>
        <scheme val="minor"/>
      </rPr>
      <t xml:space="preserve"> </t>
    </r>
    <r>
      <rPr>
        <b/>
        <sz val="11"/>
        <color rgb="FF0000FF"/>
        <rFont val="Aptos Narrow"/>
        <family val="2"/>
        <scheme val="minor"/>
      </rPr>
      <t>Vacant_Positions, Overtime_Hours and Emcumbered_Amount</t>
    </r>
    <r>
      <rPr>
        <sz val="11"/>
        <color theme="1"/>
        <rFont val="Aptos Narrow"/>
        <family val="2"/>
        <scheme val="minor"/>
      </rPr>
      <t xml:space="preserve">). </t>
    </r>
  </si>
  <si>
    <r>
      <t>#4 Forcasting model cannot natively handle month names. The Month column will be transformed into multiple binary columns, and October will dropped whihc will be our basline.
This also prevents perfect multicollinearity, which can make model coefficients unstable when columns are highly dependent on one another. (</t>
    </r>
    <r>
      <rPr>
        <b/>
        <sz val="11"/>
        <color theme="1"/>
        <rFont val="Aptos Narrow"/>
        <family val="2"/>
        <scheme val="minor"/>
      </rPr>
      <t>Modified Columns:</t>
    </r>
    <r>
      <rPr>
        <sz val="11"/>
        <color theme="1"/>
        <rFont val="Aptos Narrow"/>
        <family val="2"/>
        <scheme val="minor"/>
      </rPr>
      <t xml:space="preserve"> </t>
    </r>
    <r>
      <rPr>
        <b/>
        <sz val="11"/>
        <color rgb="FF0000FF"/>
        <rFont val="Aptos Narrow"/>
        <family val="2"/>
        <scheme val="minor"/>
      </rPr>
      <t>Month and various new columns derived from the month column</t>
    </r>
    <r>
      <rPr>
        <sz val="11"/>
        <color theme="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</si>
</sst>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1"/>
      <color theme="1"/>
      <name val="Aptos Narrow"/>
      <family val="2"/>
      <scheme val="minor"/>
    </font>
    <font>
      <b/>
      <sz val="11"/>
      <color theme="1"/>
      <name val="Aptos Narrow"/>
      <family val="2"/>
      <scheme val="minor"/>
    </font>
    <font>
      <b/>
      <sz val="18"/>
      <color theme="1"/>
      <name val="Aptos Narrow"/>
      <family val="2"/>
      <scheme val="minor"/>
    </font>
    <font>
      <b/>
      <sz val="11"/>
      <color rgb="FF0000FF"/>
      <name val="Aptos Narrow"/>
      <family val="2"/>
      <scheme val="minor"/>
    </font>
  </fonts>
  <fills count="2">
    <fill>
      <patternFill patternType="none"/>
    </fill>
    <fill>
      <patternFill patternType="gray125"/>
    </fill>
  </fills>
  <borders count="6">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2" fillId="0" borderId="0" xfId="0" applyFont="1" applyAlignment="1"/>
    <xf numFmtId="0" fontId="2" fillId="0" borderId="1" xfId="0" applyFont="1" applyBorder="1" applyAlignment="1">
      <alignment horizontal="left"/>
    </xf>
    <xf numFmtId="0" fontId="2" fillId="0" borderId="2" xfId="0" applyFont="1" applyBorder="1" applyAlignment="1">
      <alignment horizontal="left"/>
    </xf>
    <xf numFmtId="0" fontId="0" fillId="0" borderId="3" xfId="0" applyBorder="1"/>
    <xf numFmtId="0" fontId="0" fillId="0" borderId="4"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left" vertical="top" wrapText="1"/>
    </xf>
    <xf numFmtId="0" fontId="0" fillId="0" borderId="5" xfId="0" applyBorder="1" applyAlignment="1">
      <alignment horizontal="left" vertical="top"/>
    </xf>
  </cellXfs>
  <cellStyles count="1">
    <cellStyle name="Normal" xfId="0" builtinId="0"/>
  </cellStyles>
  <dxfs count="10">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19" formatCode="m/d/yyyy"/>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theme" Target="theme/theme1.xml"/><Relationship Id="rId21" Type="http://schemas.openxmlformats.org/officeDocument/2006/relationships/customXml" Target="../customXml/item9.xml"/><Relationship Id="rId7" Type="http://schemas.openxmlformats.org/officeDocument/2006/relationships/sheetMetadata" Target="metadata.xml"/><Relationship Id="rId12" Type="http://schemas.openxmlformats.org/officeDocument/2006/relationships/calcChain" Target="calcChain.xml"/><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powerPivotData" Target="model/item.data"/><Relationship Id="rId24" Type="http://schemas.openxmlformats.org/officeDocument/2006/relationships/customXml" Target="../customXml/item12.xml"/><Relationship Id="rId5" Type="http://schemas.openxmlformats.org/officeDocument/2006/relationships/styles" Target="styles.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microsoft.com/office/2017/06/relationships/rdRichValueTypes" Target="richData/rdRichValueTypes.xml"/><Relationship Id="rId19" Type="http://schemas.openxmlformats.org/officeDocument/2006/relationships/customXml" Target="../customXml/item7.xml"/><Relationship Id="rId4" Type="http://schemas.openxmlformats.org/officeDocument/2006/relationships/connections" Target="connections.xml"/><Relationship Id="rId9" Type="http://schemas.microsoft.com/office/2017/06/relationships/rdRichValueStructure" Target="richData/rdrichvaluestructure.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microsoft.com/office/2023/09/relationships/Python" Target="pytho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5F089A9-9D6E-49A1-B439-0399B2893216}" autoFormatId="16" applyNumberFormats="0" applyBorderFormats="0" applyFontFormats="0" applyPatternFormats="0" applyAlignmentFormats="0" applyWidthHeightFormats="0">
  <queryTableRefresh nextId="20">
    <queryTableFields count="17">
      <queryTableField id="18" name="Date" tableColumnId="18"/>
      <queryTableField id="2" name="Fiscal_Year" tableColumnId="2"/>
      <queryTableField id="3" name="Fiscal_Month" tableColumnId="3"/>
      <queryTableField id="4" name="Department" tableColumnId="4"/>
      <queryTableField id="5" name="Annual_Approved_Budget" tableColumnId="5"/>
      <queryTableField id="6" name="Actual_Expenditure" tableColumnId="6"/>
      <queryTableField id="7" name="Personnel_Cost" tableColumnId="7"/>
      <queryTableField id="8" name="Operating_Cost" tableColumnId="8"/>
      <queryTableField id="9" name="Capital_Cost" tableColumnId="9"/>
      <queryTableField id="10" name="Filled_Positions" tableColumnId="10"/>
      <queryTableField id="11" name="Vacant_Positions" tableColumnId="11"/>
      <queryTableField id="12" name="Overtime_Hours" tableColumnId="12"/>
      <queryTableField id="13" name="Active_Projects" tableColumnId="13"/>
      <queryTableField id="14" name="Open_Purchase_Orders" tableColumnId="14"/>
      <queryTableField id="15" name="Encumbered_Amount" tableColumnId="15"/>
      <queryTableField id="16" name="Fuel_Price_Index" tableColumnId="16"/>
      <queryTableField id="17" name="CPI_Index" tableColumnId="17"/>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9</v>
    <v>4</v>
  </rv>
</rvData>
</file>

<file path=xl/richData/rdrichvaluestructure.xml><?xml version="1.0" encoding="utf-8"?>
<rvStructures xmlns="http://schemas.microsoft.com/office/spreadsheetml/2017/richdata" count="1">
  <s t="_error">
    <k n="errorType" t="i"/>
    <k n="subType" t="i"/>
  </s>
</rvStructure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AEA92C-538E-438E-B1F0-FF1D0CDFA8BE}" name="Deparment_Spending" displayName="Deparment_Spending" ref="A1:Q606" tableType="queryTable" totalsRowShown="0">
  <autoFilter ref="A1:Q606" xr:uid="{0DAEA92C-538E-438E-B1F0-FF1D0CDFA8BE}"/>
  <tableColumns count="17">
    <tableColumn id="18" xr3:uid="{6FF52785-6428-459B-9A46-46FA1E1D4355}" uniqueName="18" name="Date" queryTableFieldId="18" dataDxfId="9"/>
    <tableColumn id="2" xr3:uid="{DAF1F6AF-0936-4382-A5EE-CC86D64FDE18}" uniqueName="2" name="Fiscal_Year" queryTableFieldId="2"/>
    <tableColumn id="3" xr3:uid="{33927462-F7EC-41E8-9940-78B302D43001}" uniqueName="3" name="Fiscal_Month" queryTableFieldId="3"/>
    <tableColumn id="4" xr3:uid="{AF6F0DC1-6C9A-4A34-A5EA-60B12CA7750D}" uniqueName="4" name="Department" queryTableFieldId="4" dataDxfId="8"/>
    <tableColumn id="5" xr3:uid="{E864950B-2D38-497D-BCF6-FD3B531D433B}" uniqueName="5" name="Annual_Approved_Budget" queryTableFieldId="5" dataDxfId="7"/>
    <tableColumn id="6" xr3:uid="{15AC428E-D618-45E7-9394-A5E5F0AF5F9F}" uniqueName="6" name="Actual_Expenditure" queryTableFieldId="6" dataDxfId="6"/>
    <tableColumn id="7" xr3:uid="{8E3E2839-ADEF-4651-828F-24D55573FE26}" uniqueName="7" name="Personnel_Cost" queryTableFieldId="7" dataDxfId="5"/>
    <tableColumn id="8" xr3:uid="{50EDFDA1-1795-4C8D-A552-5AAFAE8B5CDC}" uniqueName="8" name="Operating_Cost" queryTableFieldId="8" dataDxfId="4"/>
    <tableColumn id="9" xr3:uid="{6E94785A-60B9-4804-AC42-2C2FFF507BED}" uniqueName="9" name="Capital_Cost" queryTableFieldId="9" dataDxfId="3"/>
    <tableColumn id="10" xr3:uid="{FF1726F0-5615-4417-85E4-E8CC194287B7}" uniqueName="10" name="Filled_Positions" queryTableFieldId="10"/>
    <tableColumn id="11" xr3:uid="{A4A9FB7F-601E-47C2-86E6-CFF30F860F05}" uniqueName="11" name="Vacant_Positions" queryTableFieldId="11"/>
    <tableColumn id="12" xr3:uid="{C5C8DA4E-CBCD-421B-8FEB-C51B1740A26A}" uniqueName="12" name="Overtime_Hours" queryTableFieldId="12"/>
    <tableColumn id="13" xr3:uid="{8EE1F687-E15A-4D5F-B7E6-5998065FC290}" uniqueName="13" name="Active_Projects" queryTableFieldId="13"/>
    <tableColumn id="14" xr3:uid="{F8206E81-0396-44EB-A1E9-7C85238A4E49}" uniqueName="14" name="Open_Purchase_Orders" queryTableFieldId="14"/>
    <tableColumn id="15" xr3:uid="{114EB10F-041C-4A70-9F31-D741D9243864}" uniqueName="15" name="Encumbered_Amount" queryTableFieldId="15" dataDxfId="2"/>
    <tableColumn id="16" xr3:uid="{F6DFCCC1-FF67-4394-9B1F-6D1009B01FFF}" uniqueName="16" name="Fuel_Price_Index" queryTableFieldId="16" dataDxfId="1"/>
    <tableColumn id="17" xr3:uid="{308A0A57-FEBB-4B49-AB1F-370F756850C5}" uniqueName="17" name="CPI_Index" queryTableFieldId="17"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FB6AC-3102-4E9F-AB43-D63A05F3B78D}">
  <dimension ref="A1:Q606"/>
  <sheetViews>
    <sheetView workbookViewId="0">
      <selection activeCell="B5" sqref="B5"/>
    </sheetView>
  </sheetViews>
  <sheetFormatPr defaultRowHeight="14.25" x14ac:dyDescent="0.45"/>
  <cols>
    <col min="1" max="1" width="8.9296875" bestFit="1" customWidth="1"/>
    <col min="2" max="2" width="11.73046875" bestFit="1" customWidth="1"/>
    <col min="3" max="3" width="13.33203125" bestFit="1" customWidth="1"/>
    <col min="4" max="4" width="23.73046875" bestFit="1" customWidth="1"/>
    <col min="5" max="5" width="22.86328125" bestFit="1" customWidth="1"/>
    <col min="6" max="6" width="18.06640625" bestFit="1" customWidth="1"/>
    <col min="7" max="7" width="15.265625" bestFit="1" customWidth="1"/>
    <col min="8" max="8" width="15.1328125" bestFit="1" customWidth="1"/>
    <col min="9" max="9" width="13" bestFit="1" customWidth="1"/>
    <col min="10" max="10" width="15.33203125" bestFit="1" customWidth="1"/>
    <col min="11" max="11" width="16.46484375" bestFit="1" customWidth="1"/>
    <col min="12" max="12" width="15.6640625" bestFit="1" customWidth="1"/>
    <col min="13" max="13" width="14.86328125" bestFit="1" customWidth="1"/>
    <col min="14" max="14" width="21.3984375" bestFit="1" customWidth="1"/>
    <col min="15" max="15" width="19.9296875" bestFit="1" customWidth="1"/>
    <col min="16" max="16" width="16.06640625" bestFit="1" customWidth="1"/>
    <col min="17" max="18" width="10.59765625" bestFit="1" customWidth="1"/>
  </cols>
  <sheetData>
    <row r="1" spans="1:17" x14ac:dyDescent="0.45">
      <c r="A1" t="s">
        <v>31</v>
      </c>
      <c r="B1" t="s">
        <v>0</v>
      </c>
      <c r="C1" t="s">
        <v>1</v>
      </c>
      <c r="D1" t="s">
        <v>2</v>
      </c>
      <c r="E1" t="s">
        <v>3</v>
      </c>
      <c r="F1" t="s">
        <v>4</v>
      </c>
      <c r="G1" t="s">
        <v>5</v>
      </c>
      <c r="H1" t="s">
        <v>6</v>
      </c>
      <c r="I1" t="s">
        <v>7</v>
      </c>
      <c r="J1" t="s">
        <v>8</v>
      </c>
      <c r="K1" t="s">
        <v>9</v>
      </c>
      <c r="L1" t="s">
        <v>10</v>
      </c>
      <c r="M1" t="s">
        <v>11</v>
      </c>
      <c r="N1" t="s">
        <v>12</v>
      </c>
      <c r="O1" t="s">
        <v>13</v>
      </c>
      <c r="P1" t="s">
        <v>14</v>
      </c>
      <c r="Q1" t="s">
        <v>15</v>
      </c>
    </row>
    <row r="2" spans="1:17" x14ac:dyDescent="0.45">
      <c r="A2" s="1">
        <v>44562</v>
      </c>
      <c r="B2">
        <v>2022</v>
      </c>
      <c r="C2">
        <v>4</v>
      </c>
      <c r="D2" t="s">
        <v>17</v>
      </c>
      <c r="E2" s="2">
        <v>7555000</v>
      </c>
      <c r="F2" s="2">
        <v>542960.12</v>
      </c>
      <c r="G2" s="2">
        <v>323128.08</v>
      </c>
      <c r="H2" s="2">
        <v>226066.85</v>
      </c>
      <c r="I2" s="2">
        <v>20123.080000000002</v>
      </c>
      <c r="J2">
        <v>43</v>
      </c>
      <c r="K2">
        <v>3</v>
      </c>
      <c r="L2">
        <v>82</v>
      </c>
      <c r="M2">
        <v>3</v>
      </c>
      <c r="N2">
        <v>14</v>
      </c>
      <c r="O2" s="2">
        <v>68613.77</v>
      </c>
      <c r="P2" s="2">
        <v>108.45</v>
      </c>
      <c r="Q2" s="2">
        <v>103.47</v>
      </c>
    </row>
    <row r="3" spans="1:17" x14ac:dyDescent="0.45">
      <c r="A3" s="1">
        <v>45292</v>
      </c>
      <c r="B3">
        <v>2024</v>
      </c>
      <c r="C3">
        <v>4</v>
      </c>
      <c r="D3" t="s">
        <v>18</v>
      </c>
      <c r="E3" s="2">
        <v>3881000</v>
      </c>
      <c r="F3" s="2">
        <v>347077.72</v>
      </c>
      <c r="G3" s="2">
        <v>304163.02</v>
      </c>
      <c r="H3" s="2">
        <v>38646.71</v>
      </c>
      <c r="I3" s="2">
        <v>5640.24</v>
      </c>
      <c r="J3">
        <v>29</v>
      </c>
      <c r="K3">
        <v>4</v>
      </c>
      <c r="L3">
        <v>51</v>
      </c>
      <c r="M3">
        <v>1</v>
      </c>
      <c r="N3">
        <v>11</v>
      </c>
      <c r="O3" s="2">
        <v>14662.3</v>
      </c>
      <c r="P3" s="2">
        <v>99.6</v>
      </c>
      <c r="Q3" s="2">
        <v>110.55</v>
      </c>
    </row>
    <row r="4" spans="1:17" x14ac:dyDescent="0.45">
      <c r="A4" s="1">
        <v>44593</v>
      </c>
      <c r="B4">
        <v>2022</v>
      </c>
      <c r="C4">
        <v>5</v>
      </c>
      <c r="D4" t="s">
        <v>19</v>
      </c>
      <c r="E4" s="2">
        <v>4968000</v>
      </c>
      <c r="F4" s="2">
        <v>388823.49</v>
      </c>
      <c r="G4" s="2">
        <v>319256.46999999997</v>
      </c>
      <c r="H4" s="2">
        <v>58459.12</v>
      </c>
      <c r="I4" s="2">
        <v>7881.27</v>
      </c>
      <c r="J4">
        <v>35</v>
      </c>
      <c r="K4">
        <v>6</v>
      </c>
      <c r="L4">
        <v>11</v>
      </c>
      <c r="M4">
        <v>2</v>
      </c>
      <c r="N4">
        <v>15</v>
      </c>
      <c r="O4" s="2">
        <v>33368.97</v>
      </c>
      <c r="P4" s="2">
        <v>111.89</v>
      </c>
      <c r="Q4" s="2">
        <v>103.64</v>
      </c>
    </row>
    <row r="5" spans="1:17" x14ac:dyDescent="0.45">
      <c r="A5" s="1">
        <v>45047</v>
      </c>
      <c r="B5">
        <v>2023</v>
      </c>
      <c r="C5">
        <v>8</v>
      </c>
      <c r="D5" t="s">
        <v>20</v>
      </c>
      <c r="E5" s="2">
        <v>14462000</v>
      </c>
      <c r="F5" s="2">
        <v>1166137.1299999999</v>
      </c>
      <c r="G5" s="2">
        <v>586020.46</v>
      </c>
      <c r="H5" s="2">
        <v>569615.61</v>
      </c>
      <c r="I5" s="2">
        <v>30374.86</v>
      </c>
      <c r="J5">
        <v>80</v>
      </c>
      <c r="K5">
        <v>7</v>
      </c>
      <c r="L5">
        <v>104</v>
      </c>
      <c r="M5">
        <v>3</v>
      </c>
      <c r="N5">
        <v>25</v>
      </c>
      <c r="O5" s="2">
        <v>118378.8</v>
      </c>
      <c r="P5" s="2">
        <v>104.6</v>
      </c>
      <c r="Q5" s="2">
        <v>108.34</v>
      </c>
    </row>
    <row r="6" spans="1:17" x14ac:dyDescent="0.45">
      <c r="A6" s="1">
        <v>45839</v>
      </c>
      <c r="B6">
        <v>2025</v>
      </c>
      <c r="C6">
        <v>10</v>
      </c>
      <c r="D6" t="s">
        <v>21</v>
      </c>
      <c r="E6" s="2">
        <v>9180000</v>
      </c>
      <c r="F6" s="2">
        <v>690126.37</v>
      </c>
      <c r="G6" s="2">
        <v>485729.6</v>
      </c>
      <c r="H6" s="2">
        <v>228839.02</v>
      </c>
      <c r="I6" s="2">
        <v>11696.47</v>
      </c>
      <c r="J6">
        <v>67</v>
      </c>
      <c r="K6">
        <v>6</v>
      </c>
      <c r="L6">
        <v>56</v>
      </c>
      <c r="M6">
        <v>4</v>
      </c>
      <c r="N6">
        <v>17</v>
      </c>
      <c r="O6" s="2">
        <v>116350.23</v>
      </c>
      <c r="P6" s="2">
        <v>116.57</v>
      </c>
      <c r="Q6" s="2">
        <v>116.39</v>
      </c>
    </row>
    <row r="7" spans="1:17" x14ac:dyDescent="0.45">
      <c r="A7" s="1">
        <v>44531</v>
      </c>
      <c r="B7">
        <v>2022</v>
      </c>
      <c r="C7">
        <v>3</v>
      </c>
      <c r="D7" t="s">
        <v>22</v>
      </c>
      <c r="E7" s="2">
        <v>6417000</v>
      </c>
      <c r="F7" s="2">
        <v>526537.1</v>
      </c>
      <c r="G7" s="2">
        <v>245253.46</v>
      </c>
      <c r="H7" s="2">
        <v>266831.58</v>
      </c>
      <c r="I7" s="2">
        <v>31244.82</v>
      </c>
      <c r="J7">
        <v>29</v>
      </c>
      <c r="K7">
        <v>4</v>
      </c>
      <c r="L7">
        <v>38</v>
      </c>
      <c r="M7">
        <v>0</v>
      </c>
      <c r="N7">
        <v>14</v>
      </c>
      <c r="O7" s="2">
        <v>12130.23</v>
      </c>
      <c r="P7" s="2">
        <v>109.76</v>
      </c>
      <c r="Q7" s="2">
        <v>102.88</v>
      </c>
    </row>
    <row r="8" spans="1:17" x14ac:dyDescent="0.45">
      <c r="A8" s="1">
        <v>44348</v>
      </c>
      <c r="B8">
        <v>2021</v>
      </c>
      <c r="C8">
        <v>9</v>
      </c>
      <c r="D8" t="s">
        <v>22</v>
      </c>
      <c r="E8" s="2">
        <v>6200000</v>
      </c>
      <c r="F8" s="2">
        <v>500030.93</v>
      </c>
      <c r="G8" s="2">
        <v>253392.02</v>
      </c>
      <c r="H8" s="2">
        <v>232996.53</v>
      </c>
      <c r="I8" s="2">
        <v>16543.919999999998</v>
      </c>
      <c r="J8">
        <v>30</v>
      </c>
      <c r="K8">
        <v>1</v>
      </c>
      <c r="L8">
        <v>30</v>
      </c>
      <c r="M8">
        <v>2</v>
      </c>
      <c r="N8">
        <v>16</v>
      </c>
      <c r="O8" s="2">
        <v>33603.99</v>
      </c>
      <c r="P8" s="2">
        <v>103.88</v>
      </c>
      <c r="Q8" s="2">
        <v>102.05</v>
      </c>
    </row>
    <row r="9" spans="1:17" x14ac:dyDescent="0.45">
      <c r="A9" s="1">
        <v>45444</v>
      </c>
      <c r="B9">
        <v>2024</v>
      </c>
      <c r="C9">
        <v>9</v>
      </c>
      <c r="D9" t="s">
        <v>18</v>
      </c>
      <c r="E9" s="2">
        <v>3881000</v>
      </c>
      <c r="F9" s="2">
        <v>308081.56</v>
      </c>
      <c r="G9" s="2">
        <v>270353.40000000002</v>
      </c>
      <c r="H9" s="2">
        <v>42080.79</v>
      </c>
      <c r="I9" s="2">
        <v>4692.79</v>
      </c>
      <c r="J9">
        <v>28</v>
      </c>
      <c r="K9">
        <v>2</v>
      </c>
      <c r="L9">
        <v>34</v>
      </c>
      <c r="M9">
        <v>0</v>
      </c>
      <c r="N9">
        <v>7</v>
      </c>
      <c r="O9" s="2">
        <v>4281.83</v>
      </c>
      <c r="P9" s="2">
        <v>101.09</v>
      </c>
      <c r="Q9" s="2">
        <v>112.82</v>
      </c>
    </row>
    <row r="10" spans="1:17" x14ac:dyDescent="0.45">
      <c r="A10" s="1">
        <v>45627</v>
      </c>
      <c r="B10">
        <v>2025</v>
      </c>
      <c r="C10">
        <v>3</v>
      </c>
      <c r="D10" t="s">
        <v>23</v>
      </c>
      <c r="E10" s="2">
        <v>21803000</v>
      </c>
      <c r="F10" s="2">
        <v>1947103.88</v>
      </c>
      <c r="G10" s="2">
        <v>854951.17</v>
      </c>
      <c r="H10" s="2">
        <v>990881.08</v>
      </c>
      <c r="I10" s="2">
        <v>109258</v>
      </c>
      <c r="J10">
        <v>97</v>
      </c>
      <c r="K10">
        <v>7</v>
      </c>
      <c r="L10">
        <v>490</v>
      </c>
      <c r="M10">
        <v>10</v>
      </c>
      <c r="N10">
        <v>34</v>
      </c>
      <c r="O10" s="2">
        <v>537780.86</v>
      </c>
      <c r="P10" s="2">
        <v>108.23</v>
      </c>
      <c r="Q10" s="2">
        <v>116.23</v>
      </c>
    </row>
    <row r="11" spans="1:17" x14ac:dyDescent="0.45">
      <c r="A11" s="1">
        <v>45658</v>
      </c>
      <c r="B11">
        <v>2025</v>
      </c>
      <c r="C11">
        <v>4</v>
      </c>
      <c r="D11" t="s">
        <v>19</v>
      </c>
      <c r="E11" s="2">
        <v>5508000</v>
      </c>
      <c r="F11" s="2">
        <v>474824.34</v>
      </c>
      <c r="G11" s="2">
        <v>396526.76</v>
      </c>
      <c r="H11" s="2">
        <v>65677.570000000007</v>
      </c>
      <c r="I11" s="2">
        <v>5274.46</v>
      </c>
      <c r="J11">
        <v>39</v>
      </c>
      <c r="K11">
        <v>4</v>
      </c>
      <c r="L11">
        <v>66</v>
      </c>
      <c r="M11">
        <v>2</v>
      </c>
      <c r="N11">
        <v>12</v>
      </c>
      <c r="O11" s="2">
        <v>30776.69</v>
      </c>
      <c r="P11" s="2">
        <v>109.79</v>
      </c>
      <c r="Q11" s="2">
        <v>115.81</v>
      </c>
    </row>
    <row r="12" spans="1:17" x14ac:dyDescent="0.45">
      <c r="A12" s="1">
        <v>44743</v>
      </c>
      <c r="B12">
        <v>2022</v>
      </c>
      <c r="C12">
        <v>10</v>
      </c>
      <c r="D12" t="s">
        <v>24</v>
      </c>
      <c r="E12" s="2">
        <v>13972000</v>
      </c>
      <c r="F12" s="2">
        <v>1103171.6399999999</v>
      </c>
      <c r="G12" s="2">
        <v>545388.43999999994</v>
      </c>
      <c r="H12" s="2">
        <v>498992.22</v>
      </c>
      <c r="I12" s="2">
        <v>47979.62</v>
      </c>
      <c r="J12">
        <v>77</v>
      </c>
      <c r="K12">
        <v>6</v>
      </c>
      <c r="M12">
        <v>2</v>
      </c>
      <c r="N12">
        <v>19</v>
      </c>
      <c r="O12" s="2">
        <v>94813.16</v>
      </c>
      <c r="P12" s="2">
        <v>110.31</v>
      </c>
      <c r="Q12" s="2">
        <v>105.86</v>
      </c>
    </row>
    <row r="13" spans="1:17" x14ac:dyDescent="0.45">
      <c r="A13" s="1">
        <v>44593</v>
      </c>
      <c r="B13">
        <v>2022</v>
      </c>
      <c r="C13">
        <v>5</v>
      </c>
      <c r="D13" t="s">
        <v>24</v>
      </c>
      <c r="E13" s="2">
        <v>13972000</v>
      </c>
      <c r="F13" s="2">
        <v>1214130.3400000001</v>
      </c>
      <c r="G13" s="2">
        <v>557249.07999999996</v>
      </c>
      <c r="H13" s="2">
        <v>474320.04</v>
      </c>
      <c r="I13" s="2">
        <v>218765.7</v>
      </c>
      <c r="J13">
        <v>79</v>
      </c>
      <c r="K13">
        <v>6</v>
      </c>
      <c r="L13">
        <v>103</v>
      </c>
      <c r="M13">
        <v>5</v>
      </c>
      <c r="N13">
        <v>21</v>
      </c>
      <c r="O13" s="2">
        <v>172747.55</v>
      </c>
      <c r="P13" s="2">
        <v>111.05</v>
      </c>
      <c r="Q13" s="2">
        <v>103.67</v>
      </c>
    </row>
    <row r="14" spans="1:17" x14ac:dyDescent="0.45">
      <c r="A14" s="1">
        <v>44805</v>
      </c>
      <c r="B14">
        <v>2022</v>
      </c>
      <c r="C14">
        <v>12</v>
      </c>
      <c r="D14" t="s">
        <v>25</v>
      </c>
      <c r="E14" s="2">
        <v>4347000</v>
      </c>
      <c r="F14" s="2">
        <v>424209.24</v>
      </c>
      <c r="G14" s="2">
        <v>311536.90999999997</v>
      </c>
      <c r="H14" s="2">
        <v>63632.89</v>
      </c>
      <c r="I14" s="2">
        <v>38386.639999999999</v>
      </c>
      <c r="J14">
        <v>34</v>
      </c>
      <c r="K14">
        <v>7</v>
      </c>
      <c r="L14">
        <v>23</v>
      </c>
      <c r="M14">
        <v>0</v>
      </c>
      <c r="N14">
        <v>9</v>
      </c>
      <c r="O14" s="2">
        <v>7162.31</v>
      </c>
      <c r="P14" s="2">
        <v>111.63</v>
      </c>
      <c r="Q14" s="2">
        <v>106.59</v>
      </c>
    </row>
    <row r="15" spans="1:17" x14ac:dyDescent="0.45">
      <c r="A15" s="1">
        <v>44287</v>
      </c>
      <c r="B15">
        <v>2021</v>
      </c>
      <c r="C15">
        <v>7</v>
      </c>
      <c r="D15" t="s">
        <v>22</v>
      </c>
      <c r="E15" s="2">
        <v>6200000</v>
      </c>
      <c r="F15" s="2">
        <v>479240.36</v>
      </c>
      <c r="G15" s="2">
        <v>249711.76</v>
      </c>
      <c r="H15" s="2">
        <v>200493.06</v>
      </c>
      <c r="I15" s="2">
        <v>35891.22</v>
      </c>
      <c r="J15">
        <v>30</v>
      </c>
      <c r="K15">
        <v>1</v>
      </c>
      <c r="L15">
        <v>42</v>
      </c>
      <c r="M15">
        <v>3</v>
      </c>
      <c r="N15">
        <v>15</v>
      </c>
      <c r="O15" s="2">
        <v>40964.74</v>
      </c>
      <c r="P15" s="2">
        <v>104.59</v>
      </c>
      <c r="Q15" s="2">
        <v>100.87</v>
      </c>
    </row>
    <row r="16" spans="1:17" x14ac:dyDescent="0.45">
      <c r="A16" s="1">
        <v>44409</v>
      </c>
      <c r="B16">
        <v>2021</v>
      </c>
      <c r="C16">
        <v>11</v>
      </c>
      <c r="D16" t="s">
        <v>22</v>
      </c>
      <c r="E16" s="2">
        <v>6200000</v>
      </c>
      <c r="F16" s="2">
        <v>503497.41</v>
      </c>
      <c r="G16" s="2">
        <v>254558.66</v>
      </c>
      <c r="H16" s="2">
        <v>216291.18</v>
      </c>
      <c r="I16" s="2">
        <v>32933.839999999997</v>
      </c>
      <c r="J16">
        <v>30</v>
      </c>
      <c r="K16">
        <v>4</v>
      </c>
      <c r="L16">
        <v>52</v>
      </c>
      <c r="M16">
        <v>0</v>
      </c>
      <c r="N16">
        <v>11</v>
      </c>
      <c r="O16" s="2">
        <v>10524.97</v>
      </c>
      <c r="P16" s="2">
        <v>105.99</v>
      </c>
      <c r="Q16" s="2">
        <v>102.3</v>
      </c>
    </row>
    <row r="17" spans="1:17" x14ac:dyDescent="0.45">
      <c r="A17" s="1">
        <v>44378</v>
      </c>
      <c r="B17">
        <v>2021</v>
      </c>
      <c r="C17">
        <v>10</v>
      </c>
      <c r="D17" t="s">
        <v>23</v>
      </c>
      <c r="E17" s="2">
        <v>19000000</v>
      </c>
      <c r="F17" s="2">
        <v>1409951.8</v>
      </c>
      <c r="G17" s="2">
        <v>717732.11</v>
      </c>
      <c r="H17" s="2">
        <v>705271.47</v>
      </c>
      <c r="I17" s="2">
        <v>86215.54</v>
      </c>
      <c r="J17">
        <v>94</v>
      </c>
      <c r="K17">
        <v>5</v>
      </c>
      <c r="L17">
        <v>393</v>
      </c>
      <c r="M17">
        <v>7</v>
      </c>
      <c r="N17">
        <v>27</v>
      </c>
      <c r="O17" s="2">
        <v>307744.21999999997</v>
      </c>
      <c r="P17" s="2">
        <v>107.46</v>
      </c>
      <c r="Q17" s="2">
        <v>102.06</v>
      </c>
    </row>
    <row r="18" spans="1:17" x14ac:dyDescent="0.45">
      <c r="A18" s="1">
        <v>44835</v>
      </c>
      <c r="B18">
        <v>2023</v>
      </c>
      <c r="C18">
        <v>1</v>
      </c>
      <c r="D18" t="s">
        <v>25</v>
      </c>
      <c r="E18" s="2">
        <v>4499000</v>
      </c>
      <c r="F18" s="2">
        <v>373262.17</v>
      </c>
      <c r="G18" s="2">
        <v>295444.46999999997</v>
      </c>
      <c r="H18" s="2">
        <v>71341.58</v>
      </c>
      <c r="I18" s="2">
        <v>9026.73</v>
      </c>
      <c r="J18">
        <v>31</v>
      </c>
      <c r="K18">
        <v>3</v>
      </c>
      <c r="L18">
        <v>34</v>
      </c>
      <c r="M18">
        <v>0</v>
      </c>
      <c r="N18">
        <v>7</v>
      </c>
      <c r="O18" s="2">
        <v>4867.87</v>
      </c>
      <c r="P18" s="2">
        <v>107.88</v>
      </c>
      <c r="Q18" s="2">
        <v>106.3</v>
      </c>
    </row>
    <row r="19" spans="1:17" x14ac:dyDescent="0.45">
      <c r="A19" s="1">
        <v>44896</v>
      </c>
      <c r="B19">
        <v>2023</v>
      </c>
      <c r="C19">
        <v>3</v>
      </c>
      <c r="D19" t="s">
        <v>24</v>
      </c>
      <c r="E19" s="2">
        <v>14462000</v>
      </c>
      <c r="F19" s="2">
        <v>1235846.01</v>
      </c>
      <c r="G19" s="2">
        <v>574109.06000000006</v>
      </c>
      <c r="H19" s="2">
        <v>649552.78</v>
      </c>
      <c r="I19" s="2">
        <v>43306.59</v>
      </c>
      <c r="J19">
        <v>77</v>
      </c>
      <c r="K19">
        <v>5</v>
      </c>
      <c r="L19">
        <v>84</v>
      </c>
      <c r="M19">
        <v>6</v>
      </c>
      <c r="N19">
        <v>25</v>
      </c>
      <c r="O19" s="2">
        <v>156047.76</v>
      </c>
      <c r="P19" s="2">
        <v>105.41</v>
      </c>
      <c r="Q19" s="2">
        <v>106.99</v>
      </c>
    </row>
    <row r="20" spans="1:17" x14ac:dyDescent="0.45">
      <c r="A20" s="1">
        <v>45078</v>
      </c>
      <c r="B20">
        <v>2023</v>
      </c>
      <c r="C20">
        <v>9</v>
      </c>
      <c r="D20" t="s">
        <v>23</v>
      </c>
      <c r="E20" s="2">
        <v>20353000</v>
      </c>
      <c r="F20" s="2">
        <v>1625263.91</v>
      </c>
      <c r="G20" s="2">
        <v>767926.57</v>
      </c>
      <c r="H20" s="2">
        <v>833298.49</v>
      </c>
      <c r="I20" s="2">
        <v>72958.25</v>
      </c>
      <c r="J20">
        <v>96</v>
      </c>
      <c r="K20">
        <v>10</v>
      </c>
      <c r="L20">
        <v>344</v>
      </c>
      <c r="M20">
        <v>8</v>
      </c>
      <c r="N20">
        <v>36</v>
      </c>
      <c r="O20" s="2">
        <v>523393.94</v>
      </c>
      <c r="P20" s="2">
        <v>103.58</v>
      </c>
      <c r="Q20" s="2">
        <v>109.75</v>
      </c>
    </row>
    <row r="21" spans="1:17" x14ac:dyDescent="0.45">
      <c r="A21" s="1">
        <v>44378</v>
      </c>
      <c r="B21">
        <v>2021</v>
      </c>
      <c r="C21">
        <v>10</v>
      </c>
      <c r="D21" t="s">
        <v>26</v>
      </c>
      <c r="E21" s="2">
        <v>8000000</v>
      </c>
      <c r="F21" s="2">
        <v>575433.07999999996</v>
      </c>
      <c r="G21" s="2">
        <v>376429.92</v>
      </c>
      <c r="H21" s="2">
        <v>168262.95</v>
      </c>
      <c r="I21" s="2">
        <v>28495.47</v>
      </c>
      <c r="J21">
        <v>60</v>
      </c>
      <c r="K21">
        <v>4</v>
      </c>
      <c r="L21">
        <v>61</v>
      </c>
      <c r="M21">
        <v>0</v>
      </c>
      <c r="N21">
        <v>16</v>
      </c>
      <c r="O21" s="2">
        <v>16837.93</v>
      </c>
      <c r="P21" s="2">
        <v>107.98</v>
      </c>
      <c r="Q21" s="2">
        <v>102.16</v>
      </c>
    </row>
    <row r="22" spans="1:17" x14ac:dyDescent="0.45">
      <c r="A22" s="1">
        <v>44986</v>
      </c>
      <c r="B22">
        <v>2023</v>
      </c>
      <c r="C22">
        <v>6</v>
      </c>
      <c r="D22" t="s">
        <v>17</v>
      </c>
      <c r="E22" s="2">
        <v>7820000</v>
      </c>
      <c r="F22" s="2">
        <v>604989.25</v>
      </c>
      <c r="G22" s="2">
        <v>346936.05</v>
      </c>
      <c r="H22" s="2">
        <v>253069.57</v>
      </c>
      <c r="I22" s="2">
        <v>24188.04</v>
      </c>
      <c r="J22">
        <v>45</v>
      </c>
      <c r="K22">
        <v>2</v>
      </c>
      <c r="L22">
        <v>43</v>
      </c>
      <c r="M22">
        <v>3</v>
      </c>
      <c r="N22">
        <v>14</v>
      </c>
      <c r="O22" s="2">
        <v>48943.12</v>
      </c>
      <c r="P22" s="2">
        <v>105.17</v>
      </c>
      <c r="Q22" s="2">
        <v>106.89</v>
      </c>
    </row>
    <row r="23" spans="1:17" x14ac:dyDescent="0.45">
      <c r="A23" s="1">
        <v>45261</v>
      </c>
      <c r="B23">
        <v>2024</v>
      </c>
      <c r="C23">
        <v>3</v>
      </c>
      <c r="D23" t="s">
        <v>22</v>
      </c>
      <c r="E23" s="2">
        <v>6874000</v>
      </c>
      <c r="F23" s="2">
        <v>560347.13</v>
      </c>
      <c r="G23" s="2">
        <v>283496.43</v>
      </c>
      <c r="H23" s="2">
        <v>279278.78999999998</v>
      </c>
      <c r="I23" s="2">
        <v>18057.96</v>
      </c>
      <c r="J23">
        <v>31</v>
      </c>
      <c r="K23">
        <v>0</v>
      </c>
      <c r="L23">
        <v>44</v>
      </c>
      <c r="M23">
        <v>1</v>
      </c>
      <c r="N23">
        <v>13</v>
      </c>
      <c r="O23" s="2">
        <v>18517.09</v>
      </c>
      <c r="P23" s="2">
        <v>102.05</v>
      </c>
      <c r="Q23" s="2">
        <v>110.67</v>
      </c>
    </row>
    <row r="24" spans="1:17" x14ac:dyDescent="0.45">
      <c r="A24" s="1">
        <v>45323</v>
      </c>
      <c r="B24">
        <v>2024</v>
      </c>
      <c r="C24">
        <v>5</v>
      </c>
      <c r="D24" t="s">
        <v>27</v>
      </c>
      <c r="E24" s="2">
        <v>27718000</v>
      </c>
      <c r="F24" s="2">
        <v>2247666.4300000002</v>
      </c>
      <c r="G24" s="2">
        <v>1810694.78</v>
      </c>
      <c r="H24" s="2">
        <v>387007.66</v>
      </c>
      <c r="I24" s="2">
        <v>55215.26</v>
      </c>
      <c r="J24">
        <v>217</v>
      </c>
      <c r="K24">
        <v>18</v>
      </c>
      <c r="L24">
        <v>901</v>
      </c>
      <c r="M24">
        <v>7</v>
      </c>
      <c r="N24">
        <v>33</v>
      </c>
      <c r="O24" s="2">
        <v>498142.87</v>
      </c>
      <c r="P24" s="2">
        <v>102.23</v>
      </c>
      <c r="Q24" s="2">
        <v>112.42</v>
      </c>
    </row>
    <row r="25" spans="1:17" x14ac:dyDescent="0.45">
      <c r="A25" s="1">
        <v>45047</v>
      </c>
      <c r="B25">
        <v>2023</v>
      </c>
      <c r="C25">
        <v>8</v>
      </c>
      <c r="D25" t="s">
        <v>21</v>
      </c>
      <c r="E25" s="2">
        <v>8570000</v>
      </c>
      <c r="F25" s="2">
        <v>621926.66</v>
      </c>
      <c r="G25" s="2">
        <v>440235.33</v>
      </c>
      <c r="H25" s="2">
        <v>202036.01</v>
      </c>
      <c r="I25" s="2">
        <v>33814.839999999997</v>
      </c>
      <c r="J25">
        <v>64</v>
      </c>
      <c r="K25">
        <v>5</v>
      </c>
      <c r="L25">
        <v>52</v>
      </c>
      <c r="M25">
        <v>5</v>
      </c>
      <c r="N25">
        <v>19</v>
      </c>
      <c r="O25" s="2">
        <v>97342.52</v>
      </c>
      <c r="P25" s="2">
        <v>104.42</v>
      </c>
      <c r="Q25" s="2">
        <v>108.08</v>
      </c>
    </row>
    <row r="26" spans="1:17" x14ac:dyDescent="0.45">
      <c r="A26" s="1">
        <v>44652</v>
      </c>
      <c r="B26">
        <v>2022</v>
      </c>
      <c r="C26">
        <v>7</v>
      </c>
      <c r="D26" t="s">
        <v>16</v>
      </c>
      <c r="E26" s="2">
        <v>6417000</v>
      </c>
      <c r="F26" s="2">
        <v>522668.99</v>
      </c>
      <c r="G26" s="2">
        <v>249629.7</v>
      </c>
      <c r="H26" s="2">
        <v>239949.07</v>
      </c>
      <c r="I26" s="2">
        <v>32825.15</v>
      </c>
      <c r="J26">
        <v>28</v>
      </c>
      <c r="K26">
        <v>3</v>
      </c>
      <c r="L26">
        <v>38</v>
      </c>
      <c r="M26">
        <v>1</v>
      </c>
      <c r="N26">
        <v>8</v>
      </c>
      <c r="O26" s="2">
        <v>15060.38</v>
      </c>
      <c r="P26" s="2">
        <v>114.53</v>
      </c>
      <c r="Q26" s="2">
        <v>105.13</v>
      </c>
    </row>
    <row r="27" spans="1:17" x14ac:dyDescent="0.45">
      <c r="A27" s="1">
        <v>45292</v>
      </c>
      <c r="B27">
        <v>2024</v>
      </c>
      <c r="C27">
        <v>4</v>
      </c>
      <c r="D27" t="s">
        <v>27</v>
      </c>
      <c r="E27" s="2">
        <v>27718000</v>
      </c>
      <c r="F27" s="2">
        <v>2649676.31</v>
      </c>
      <c r="G27" s="2">
        <v>1930535.59</v>
      </c>
      <c r="H27" s="2">
        <v>435496.33</v>
      </c>
      <c r="I27" s="2">
        <v>286513.53000000003</v>
      </c>
      <c r="J27">
        <v>220</v>
      </c>
      <c r="K27">
        <v>15</v>
      </c>
      <c r="L27">
        <v>853</v>
      </c>
      <c r="M27">
        <v>11</v>
      </c>
      <c r="N27">
        <v>36</v>
      </c>
      <c r="O27" s="2">
        <v>728851.6</v>
      </c>
      <c r="P27" s="2">
        <v>100.15</v>
      </c>
      <c r="Q27" s="2">
        <v>111.42</v>
      </c>
    </row>
    <row r="28" spans="1:17" x14ac:dyDescent="0.45">
      <c r="A28" s="1">
        <v>45323</v>
      </c>
      <c r="B28">
        <v>2024</v>
      </c>
      <c r="C28">
        <v>5</v>
      </c>
      <c r="D28" t="s">
        <v>19</v>
      </c>
      <c r="E28" s="2">
        <v>5322000</v>
      </c>
      <c r="F28" s="2">
        <v>455942.8</v>
      </c>
      <c r="G28" s="2">
        <v>395086.52</v>
      </c>
      <c r="H28" s="2">
        <v>62285.23</v>
      </c>
      <c r="I28" s="2">
        <v>7419.92</v>
      </c>
      <c r="J28">
        <v>39</v>
      </c>
      <c r="K28">
        <v>1</v>
      </c>
      <c r="L28">
        <v>42</v>
      </c>
      <c r="M28">
        <v>3</v>
      </c>
      <c r="N28">
        <v>13</v>
      </c>
      <c r="O28" s="2">
        <v>35487.279999999999</v>
      </c>
      <c r="P28" s="2">
        <v>102.92</v>
      </c>
      <c r="Q28" s="2">
        <v>110.59</v>
      </c>
    </row>
    <row r="29" spans="1:17" x14ac:dyDescent="0.45">
      <c r="A29" s="1">
        <v>45992</v>
      </c>
      <c r="B29">
        <v>2026</v>
      </c>
      <c r="C29">
        <v>3</v>
      </c>
      <c r="D29" t="s">
        <v>19</v>
      </c>
      <c r="E29" s="2">
        <v>5701000</v>
      </c>
      <c r="F29" s="2">
        <v>496177.24</v>
      </c>
      <c r="G29" s="2">
        <v>399181.46</v>
      </c>
      <c r="H29" s="2">
        <v>86795.48</v>
      </c>
      <c r="I29" s="2">
        <v>9339.36</v>
      </c>
      <c r="J29">
        <v>38</v>
      </c>
      <c r="K29">
        <v>0</v>
      </c>
      <c r="L29">
        <v>74</v>
      </c>
      <c r="M29">
        <v>0</v>
      </c>
      <c r="N29">
        <v>11</v>
      </c>
      <c r="O29" s="2">
        <v>8427.92</v>
      </c>
      <c r="P29" s="2">
        <v>121.25</v>
      </c>
      <c r="Q29" s="2">
        <v>118.82</v>
      </c>
    </row>
    <row r="30" spans="1:17" x14ac:dyDescent="0.45">
      <c r="A30" s="1">
        <v>45413</v>
      </c>
      <c r="B30">
        <v>2024</v>
      </c>
      <c r="C30">
        <v>8</v>
      </c>
      <c r="D30" t="s">
        <v>19</v>
      </c>
      <c r="E30" s="2">
        <v>5322000</v>
      </c>
      <c r="F30" s="2">
        <v>457609.16</v>
      </c>
      <c r="G30" s="2">
        <v>377323.81</v>
      </c>
      <c r="H30" s="2">
        <v>63889.98</v>
      </c>
      <c r="I30" s="2">
        <v>11002.08</v>
      </c>
      <c r="J30">
        <v>37</v>
      </c>
      <c r="K30">
        <v>6</v>
      </c>
      <c r="L30">
        <v>53</v>
      </c>
      <c r="M30">
        <v>2</v>
      </c>
      <c r="N30">
        <v>11</v>
      </c>
      <c r="O30" s="2">
        <v>35569.61</v>
      </c>
      <c r="P30" s="2">
        <v>101.54</v>
      </c>
      <c r="Q30" s="2">
        <v>111.82</v>
      </c>
    </row>
    <row r="31" spans="1:17" x14ac:dyDescent="0.45">
      <c r="A31" s="1">
        <v>44866</v>
      </c>
      <c r="B31">
        <v>2023</v>
      </c>
      <c r="C31">
        <v>2</v>
      </c>
      <c r="D31" t="s">
        <v>18</v>
      </c>
      <c r="E31" s="2">
        <v>3749000</v>
      </c>
      <c r="F31" s="2">
        <v>302308.76</v>
      </c>
      <c r="G31" s="2">
        <v>253605.61</v>
      </c>
      <c r="H31" s="2">
        <v>45835.79</v>
      </c>
      <c r="I31" s="2">
        <v>3432.6</v>
      </c>
      <c r="J31">
        <v>26</v>
      </c>
      <c r="K31">
        <v>1</v>
      </c>
      <c r="L31">
        <v>36</v>
      </c>
      <c r="M31">
        <v>0</v>
      </c>
      <c r="N31">
        <v>5</v>
      </c>
      <c r="O31" s="2">
        <v>2276.87</v>
      </c>
      <c r="P31" s="2">
        <v>109.4</v>
      </c>
      <c r="Q31" s="2">
        <v>105.54</v>
      </c>
    </row>
    <row r="32" spans="1:17" x14ac:dyDescent="0.45">
      <c r="A32" s="1">
        <v>44835</v>
      </c>
      <c r="B32">
        <v>2023</v>
      </c>
      <c r="C32">
        <v>1</v>
      </c>
      <c r="D32" t="s">
        <v>21</v>
      </c>
      <c r="E32" s="2">
        <v>8570000</v>
      </c>
      <c r="F32" s="2">
        <v>741517.81</v>
      </c>
      <c r="G32" s="2">
        <v>458569.71</v>
      </c>
      <c r="H32" s="2">
        <v>297759.02</v>
      </c>
      <c r="I32" s="2">
        <v>35466.25</v>
      </c>
      <c r="J32">
        <v>64</v>
      </c>
      <c r="K32">
        <v>5</v>
      </c>
      <c r="L32">
        <v>66</v>
      </c>
      <c r="M32">
        <v>2</v>
      </c>
      <c r="N32">
        <v>19</v>
      </c>
      <c r="O32" s="2">
        <v>63401.4</v>
      </c>
      <c r="P32" s="2">
        <v>105.4</v>
      </c>
      <c r="Q32" s="2">
        <v>106.13</v>
      </c>
    </row>
    <row r="33" spans="1:17" x14ac:dyDescent="0.45">
      <c r="A33" s="1">
        <v>44835</v>
      </c>
      <c r="B33">
        <v>2023</v>
      </c>
      <c r="C33">
        <v>1</v>
      </c>
      <c r="D33" t="s">
        <v>18</v>
      </c>
      <c r="E33" s="2">
        <v>3749000</v>
      </c>
      <c r="F33" s="2">
        <v>304392.81</v>
      </c>
      <c r="G33" s="2">
        <v>252422.29</v>
      </c>
      <c r="H33" s="2">
        <v>44418.41</v>
      </c>
      <c r="I33" s="2">
        <v>5573.89</v>
      </c>
      <c r="J33">
        <v>27</v>
      </c>
      <c r="K33">
        <v>2</v>
      </c>
      <c r="L33">
        <v>36</v>
      </c>
      <c r="M33">
        <v>0</v>
      </c>
      <c r="N33">
        <v>11</v>
      </c>
      <c r="O33" s="2">
        <v>7492.88</v>
      </c>
      <c r="P33" s="2">
        <v>110.06</v>
      </c>
      <c r="Q33" s="2">
        <v>106.2</v>
      </c>
    </row>
    <row r="34" spans="1:17" x14ac:dyDescent="0.45">
      <c r="A34" s="1">
        <v>45809</v>
      </c>
      <c r="B34">
        <v>2025</v>
      </c>
      <c r="C34">
        <v>9</v>
      </c>
      <c r="D34" t="s">
        <v>24</v>
      </c>
      <c r="E34" s="2">
        <v>15492000</v>
      </c>
      <c r="F34" s="2">
        <v>1338796.1000000001</v>
      </c>
      <c r="G34" s="2">
        <v>636807.21</v>
      </c>
      <c r="H34" s="2">
        <v>522761.5</v>
      </c>
      <c r="I34" s="2">
        <v>94764.47</v>
      </c>
      <c r="J34">
        <v>81</v>
      </c>
      <c r="K34">
        <v>5</v>
      </c>
      <c r="L34">
        <v>147</v>
      </c>
      <c r="M34">
        <v>5</v>
      </c>
      <c r="N34">
        <v>31</v>
      </c>
      <c r="O34" s="2">
        <v>176830.34</v>
      </c>
      <c r="P34" s="2">
        <v>114.44</v>
      </c>
      <c r="Q34" s="2">
        <v>115.91</v>
      </c>
    </row>
    <row r="35" spans="1:17" x14ac:dyDescent="0.45">
      <c r="A35" s="1">
        <v>44927</v>
      </c>
      <c r="B35">
        <v>2023</v>
      </c>
      <c r="C35">
        <v>4</v>
      </c>
      <c r="D35" t="s">
        <v>18</v>
      </c>
      <c r="E35" s="2">
        <v>3749000</v>
      </c>
      <c r="F35" s="2">
        <v>336281.09</v>
      </c>
      <c r="G35" s="2">
        <v>292087.65000000002</v>
      </c>
      <c r="H35" s="2">
        <v>40447.269999999997</v>
      </c>
      <c r="I35" s="2">
        <v>6043.12</v>
      </c>
      <c r="J35">
        <v>28</v>
      </c>
      <c r="K35">
        <v>0</v>
      </c>
      <c r="L35">
        <v>41</v>
      </c>
      <c r="M35">
        <v>0</v>
      </c>
      <c r="N35">
        <v>11</v>
      </c>
      <c r="O35" s="2">
        <v>6120.73</v>
      </c>
      <c r="P35" s="2">
        <v>106.45</v>
      </c>
      <c r="Q35" s="2">
        <v>107.9</v>
      </c>
    </row>
    <row r="36" spans="1:17" x14ac:dyDescent="0.45">
      <c r="A36" s="1">
        <v>45261</v>
      </c>
      <c r="B36">
        <v>2024</v>
      </c>
      <c r="C36">
        <v>3</v>
      </c>
      <c r="D36" t="s">
        <v>25</v>
      </c>
      <c r="E36" s="2">
        <v>4657000</v>
      </c>
      <c r="F36" s="2">
        <v>410925.18</v>
      </c>
      <c r="G36" s="2">
        <v>328782.78999999998</v>
      </c>
      <c r="H36" s="2">
        <v>74620.98</v>
      </c>
      <c r="I36" s="2">
        <v>10050.84</v>
      </c>
      <c r="J36">
        <v>32</v>
      </c>
      <c r="K36">
        <v>3</v>
      </c>
      <c r="L36">
        <v>56</v>
      </c>
      <c r="M36">
        <v>2</v>
      </c>
      <c r="N36">
        <v>13</v>
      </c>
      <c r="O36" s="2">
        <v>20079.599999999999</v>
      </c>
      <c r="P36" s="2">
        <v>103.31</v>
      </c>
      <c r="Q36" s="2">
        <v>110.75</v>
      </c>
    </row>
    <row r="37" spans="1:17" x14ac:dyDescent="0.45">
      <c r="A37" s="1">
        <v>44378</v>
      </c>
      <c r="B37">
        <v>2021</v>
      </c>
      <c r="C37">
        <v>10</v>
      </c>
      <c r="D37" t="s">
        <v>25</v>
      </c>
      <c r="E37" s="2">
        <v>4200000</v>
      </c>
      <c r="F37" s="2">
        <v>324422.61</v>
      </c>
      <c r="G37" s="2">
        <v>270552.5</v>
      </c>
      <c r="H37" s="2">
        <v>59361.52</v>
      </c>
      <c r="I37" s="2">
        <v>5768.38</v>
      </c>
      <c r="J37">
        <v>31</v>
      </c>
      <c r="K37">
        <v>8</v>
      </c>
      <c r="L37">
        <v>32</v>
      </c>
      <c r="M37">
        <v>1</v>
      </c>
      <c r="N37">
        <v>12</v>
      </c>
      <c r="O37" s="2">
        <v>15890.77</v>
      </c>
      <c r="P37" s="2">
        <v>109.16</v>
      </c>
      <c r="Q37" s="2">
        <v>100.45</v>
      </c>
    </row>
    <row r="38" spans="1:17" x14ac:dyDescent="0.45">
      <c r="A38" s="1">
        <v>44562</v>
      </c>
      <c r="B38">
        <v>2022</v>
      </c>
      <c r="C38">
        <v>4</v>
      </c>
      <c r="D38" t="s">
        <v>25</v>
      </c>
      <c r="E38" s="2">
        <v>4347000</v>
      </c>
      <c r="F38" s="2">
        <v>359758.65</v>
      </c>
      <c r="G38" s="2">
        <v>302034.40999999997</v>
      </c>
      <c r="H38" s="2">
        <v>54739.45</v>
      </c>
      <c r="I38" s="2">
        <v>5696.33</v>
      </c>
      <c r="J38">
        <v>33</v>
      </c>
      <c r="K38">
        <v>6</v>
      </c>
      <c r="L38">
        <v>64</v>
      </c>
      <c r="M38">
        <v>3</v>
      </c>
      <c r="N38">
        <v>14</v>
      </c>
      <c r="O38" s="2">
        <v>28185.86</v>
      </c>
      <c r="P38" s="2">
        <v>109.19</v>
      </c>
      <c r="Q38" s="2">
        <v>103.73</v>
      </c>
    </row>
    <row r="39" spans="1:17" x14ac:dyDescent="0.45">
      <c r="A39" s="1">
        <v>44228</v>
      </c>
      <c r="B39">
        <v>2021</v>
      </c>
      <c r="C39">
        <v>5</v>
      </c>
      <c r="D39" t="s">
        <v>24</v>
      </c>
      <c r="E39" s="2">
        <v>13500000</v>
      </c>
      <c r="F39" s="2">
        <v>1201055.1599999999</v>
      </c>
      <c r="G39" s="2">
        <v>536845.46</v>
      </c>
      <c r="H39" s="2">
        <v>444539.14</v>
      </c>
      <c r="I39" s="2">
        <v>207021.11</v>
      </c>
      <c r="J39">
        <v>79</v>
      </c>
      <c r="K39">
        <v>4</v>
      </c>
      <c r="L39">
        <v>42</v>
      </c>
      <c r="M39">
        <v>3</v>
      </c>
      <c r="N39">
        <v>22</v>
      </c>
      <c r="O39" s="2">
        <v>97908.93</v>
      </c>
      <c r="P39" s="2">
        <v>99.73</v>
      </c>
      <c r="Q39" s="2">
        <v>100.22</v>
      </c>
    </row>
    <row r="40" spans="1:17" x14ac:dyDescent="0.45">
      <c r="A40" s="1">
        <v>44593</v>
      </c>
      <c r="B40">
        <v>2022</v>
      </c>
      <c r="C40">
        <v>5</v>
      </c>
      <c r="D40" t="s">
        <v>21</v>
      </c>
      <c r="E40" s="2">
        <v>8280000</v>
      </c>
      <c r="F40" s="2">
        <v>689244.43</v>
      </c>
      <c r="G40" s="2">
        <v>426245.52</v>
      </c>
      <c r="H40" s="2">
        <v>203443.45</v>
      </c>
      <c r="I40" s="2">
        <v>35621.32</v>
      </c>
      <c r="J40">
        <v>63</v>
      </c>
      <c r="K40">
        <v>7</v>
      </c>
      <c r="L40">
        <v>75</v>
      </c>
      <c r="M40">
        <v>4</v>
      </c>
      <c r="N40">
        <v>17</v>
      </c>
      <c r="O40" s="2">
        <v>60513.48</v>
      </c>
      <c r="P40" s="2">
        <v>114.55</v>
      </c>
      <c r="Q40" s="2">
        <v>103.75</v>
      </c>
    </row>
    <row r="41" spans="1:17" x14ac:dyDescent="0.45">
      <c r="A41" s="1">
        <v>45778</v>
      </c>
      <c r="B41">
        <v>2025</v>
      </c>
      <c r="C41">
        <v>8</v>
      </c>
      <c r="D41" t="s">
        <v>24</v>
      </c>
      <c r="E41" s="2">
        <v>15492000</v>
      </c>
      <c r="F41" s="2">
        <v>1134734.7</v>
      </c>
      <c r="G41" s="2">
        <v>632478.69999999995</v>
      </c>
      <c r="H41" s="2">
        <v>507723.37</v>
      </c>
      <c r="I41" s="2">
        <v>81582.720000000001</v>
      </c>
      <c r="J41">
        <v>81</v>
      </c>
      <c r="K41">
        <v>7</v>
      </c>
      <c r="L41">
        <v>104</v>
      </c>
      <c r="M41">
        <v>3</v>
      </c>
      <c r="N41">
        <v>17</v>
      </c>
      <c r="O41" s="2">
        <v>149404.09</v>
      </c>
      <c r="P41" s="2">
        <v>115</v>
      </c>
      <c r="Q41" s="2">
        <v>116.78</v>
      </c>
    </row>
    <row r="42" spans="1:17" x14ac:dyDescent="0.45">
      <c r="A42" s="1">
        <v>44896</v>
      </c>
      <c r="B42">
        <v>2023</v>
      </c>
      <c r="C42">
        <v>3</v>
      </c>
      <c r="D42" t="s">
        <v>19</v>
      </c>
      <c r="E42" s="2">
        <v>5142000</v>
      </c>
      <c r="F42" s="2">
        <v>457176.6</v>
      </c>
      <c r="G42" s="2">
        <v>370167.94</v>
      </c>
      <c r="H42" s="2">
        <v>78803.570000000007</v>
      </c>
      <c r="I42" s="2">
        <v>10785.85</v>
      </c>
      <c r="J42">
        <v>37</v>
      </c>
      <c r="K42">
        <v>3</v>
      </c>
      <c r="L42">
        <v>62</v>
      </c>
      <c r="M42">
        <v>1</v>
      </c>
      <c r="N42">
        <v>9</v>
      </c>
      <c r="O42" s="2">
        <v>20401</v>
      </c>
      <c r="P42" s="2">
        <v>109.08</v>
      </c>
      <c r="Q42" s="2">
        <v>107.81</v>
      </c>
    </row>
    <row r="43" spans="1:17" x14ac:dyDescent="0.45">
      <c r="A43" s="1">
        <v>44652</v>
      </c>
      <c r="B43">
        <v>2022</v>
      </c>
      <c r="C43">
        <v>7</v>
      </c>
      <c r="D43" t="s">
        <v>27</v>
      </c>
      <c r="E43" s="2">
        <v>25875000</v>
      </c>
      <c r="F43" s="2">
        <v>2367954.96</v>
      </c>
      <c r="G43" s="2">
        <v>1672249.32</v>
      </c>
      <c r="H43" s="2">
        <v>579354.32999999996</v>
      </c>
      <c r="I43" s="2">
        <v>226389.34</v>
      </c>
      <c r="J43">
        <v>203</v>
      </c>
      <c r="K43">
        <v>17</v>
      </c>
      <c r="L43">
        <v>759</v>
      </c>
      <c r="M43">
        <v>8</v>
      </c>
      <c r="N43">
        <v>33</v>
      </c>
      <c r="O43" s="2">
        <v>516339.95</v>
      </c>
      <c r="P43" s="2">
        <v>107.63</v>
      </c>
      <c r="Q43" s="2">
        <v>104.91</v>
      </c>
    </row>
    <row r="44" spans="1:17" x14ac:dyDescent="0.45">
      <c r="A44" s="1">
        <v>45261</v>
      </c>
      <c r="B44">
        <v>2024</v>
      </c>
      <c r="C44">
        <v>3</v>
      </c>
      <c r="D44" t="s">
        <v>28</v>
      </c>
      <c r="E44" s="2">
        <v>24392000</v>
      </c>
      <c r="F44" s="2">
        <v>2339036.21</v>
      </c>
      <c r="G44" s="2">
        <v>1780143.01</v>
      </c>
      <c r="H44" s="2">
        <v>536115.89</v>
      </c>
      <c r="I44" s="2">
        <v>67011.94</v>
      </c>
      <c r="J44">
        <v>188</v>
      </c>
      <c r="K44">
        <v>12</v>
      </c>
      <c r="L44">
        <v>756</v>
      </c>
      <c r="M44">
        <v>10</v>
      </c>
      <c r="N44">
        <v>38</v>
      </c>
      <c r="O44" s="2">
        <v>665383.78</v>
      </c>
      <c r="P44" s="2">
        <v>100.76</v>
      </c>
      <c r="Q44" s="2">
        <v>110.73</v>
      </c>
    </row>
    <row r="45" spans="1:17" x14ac:dyDescent="0.45">
      <c r="A45" s="1">
        <v>44774</v>
      </c>
      <c r="B45">
        <v>2022</v>
      </c>
      <c r="C45">
        <v>11</v>
      </c>
      <c r="D45" t="s">
        <v>18</v>
      </c>
      <c r="E45" s="2">
        <v>3622000</v>
      </c>
      <c r="F45" s="2">
        <v>315756.79999999999</v>
      </c>
      <c r="G45" s="2">
        <v>267623.18</v>
      </c>
      <c r="H45" s="2">
        <v>40728.410000000003</v>
      </c>
      <c r="I45" s="2">
        <v>1832.79</v>
      </c>
      <c r="J45">
        <v>28</v>
      </c>
      <c r="K45">
        <v>4</v>
      </c>
      <c r="L45">
        <v>31</v>
      </c>
      <c r="M45">
        <v>3</v>
      </c>
      <c r="N45">
        <v>17</v>
      </c>
      <c r="O45" s="2">
        <v>31747.65</v>
      </c>
      <c r="P45" s="2">
        <v>108.87</v>
      </c>
      <c r="Q45" s="2">
        <v>106.13</v>
      </c>
    </row>
    <row r="46" spans="1:17" x14ac:dyDescent="0.45">
      <c r="A46" s="1">
        <v>45536</v>
      </c>
      <c r="B46">
        <v>2024</v>
      </c>
      <c r="C46">
        <v>12</v>
      </c>
      <c r="D46" t="s">
        <v>28</v>
      </c>
      <c r="E46" s="2">
        <v>24392000</v>
      </c>
      <c r="F46" s="2">
        <v>2169427.0299999998</v>
      </c>
      <c r="G46" s="2">
        <v>1621618.98</v>
      </c>
      <c r="H46" s="2">
        <v>398488.52</v>
      </c>
      <c r="I46" s="2">
        <v>64113.23</v>
      </c>
      <c r="J46">
        <v>174</v>
      </c>
      <c r="K46">
        <v>12</v>
      </c>
      <c r="L46">
        <v>695</v>
      </c>
      <c r="M46">
        <v>11</v>
      </c>
      <c r="N46">
        <v>37</v>
      </c>
      <c r="O46" s="2">
        <v>743405.63</v>
      </c>
      <c r="P46" s="2">
        <v>105.93</v>
      </c>
      <c r="Q46" s="2">
        <v>113.21</v>
      </c>
    </row>
    <row r="47" spans="1:17" x14ac:dyDescent="0.45">
      <c r="A47" s="1">
        <v>44197</v>
      </c>
      <c r="B47">
        <v>2021</v>
      </c>
      <c r="C47">
        <v>4</v>
      </c>
      <c r="D47" t="s">
        <v>22</v>
      </c>
      <c r="E47" s="2">
        <v>6200000</v>
      </c>
      <c r="F47" s="2">
        <v>563434.81999999995</v>
      </c>
      <c r="G47" s="2">
        <v>267323.62</v>
      </c>
      <c r="H47" s="2">
        <v>180598.12</v>
      </c>
      <c r="I47" s="2">
        <v>106717</v>
      </c>
      <c r="J47">
        <v>31</v>
      </c>
      <c r="K47">
        <v>1</v>
      </c>
      <c r="L47">
        <v>35</v>
      </c>
      <c r="M47">
        <v>3</v>
      </c>
      <c r="N47">
        <v>14</v>
      </c>
      <c r="O47" s="2">
        <v>52573.97</v>
      </c>
      <c r="P47" s="2">
        <v>101.21</v>
      </c>
      <c r="Q47" s="2">
        <v>100.11</v>
      </c>
    </row>
    <row r="48" spans="1:17" x14ac:dyDescent="0.45">
      <c r="A48" s="1">
        <v>45444</v>
      </c>
      <c r="B48">
        <v>2024</v>
      </c>
      <c r="C48">
        <v>9</v>
      </c>
      <c r="D48" t="s">
        <v>23</v>
      </c>
      <c r="E48" s="2">
        <v>21066000</v>
      </c>
      <c r="F48" s="2">
        <v>1564779.4</v>
      </c>
      <c r="G48" s="2">
        <v>828790.11</v>
      </c>
      <c r="H48" s="2">
        <v>678802.56</v>
      </c>
      <c r="I48" s="2">
        <v>102588.93</v>
      </c>
      <c r="J48">
        <v>98</v>
      </c>
      <c r="K48">
        <v>9</v>
      </c>
      <c r="L48">
        <v>392</v>
      </c>
      <c r="M48">
        <v>11</v>
      </c>
      <c r="N48">
        <v>37</v>
      </c>
      <c r="O48" s="2">
        <v>637286.81000000006</v>
      </c>
      <c r="P48" s="2">
        <v>99.59</v>
      </c>
      <c r="Q48" s="2">
        <v>112.02</v>
      </c>
    </row>
    <row r="49" spans="1:17" x14ac:dyDescent="0.45">
      <c r="A49" s="1">
        <v>45139</v>
      </c>
      <c r="B49">
        <v>2023</v>
      </c>
      <c r="C49">
        <v>11</v>
      </c>
      <c r="D49" t="s">
        <v>22</v>
      </c>
      <c r="E49" s="2">
        <v>6642000</v>
      </c>
      <c r="F49" s="2">
        <v>557746.56000000006</v>
      </c>
      <c r="G49" s="2">
        <v>288117.23</v>
      </c>
      <c r="H49" s="2">
        <v>236840.4</v>
      </c>
      <c r="I49" s="2">
        <v>37864.82</v>
      </c>
      <c r="J49">
        <v>31</v>
      </c>
      <c r="K49">
        <v>3</v>
      </c>
      <c r="L49">
        <v>50</v>
      </c>
      <c r="M49">
        <v>2</v>
      </c>
      <c r="N49">
        <v>11</v>
      </c>
      <c r="O49" s="2">
        <v>38130.699999999997</v>
      </c>
      <c r="P49" s="2">
        <v>106.67</v>
      </c>
      <c r="Q49" s="2">
        <v>109.95</v>
      </c>
    </row>
    <row r="50" spans="1:17" x14ac:dyDescent="0.45">
      <c r="A50" s="1">
        <v>44652</v>
      </c>
      <c r="B50">
        <v>2022</v>
      </c>
      <c r="C50">
        <v>7</v>
      </c>
      <c r="D50" t="s">
        <v>23</v>
      </c>
      <c r="E50" s="2">
        <v>19665000</v>
      </c>
      <c r="F50" s="2">
        <v>1641174.34</v>
      </c>
      <c r="G50" s="2">
        <v>711330.01</v>
      </c>
      <c r="H50" s="2">
        <v>840333.99</v>
      </c>
      <c r="I50" s="2">
        <v>115248.15</v>
      </c>
      <c r="J50">
        <v>93</v>
      </c>
      <c r="K50">
        <v>6</v>
      </c>
      <c r="L50">
        <v>244</v>
      </c>
      <c r="M50">
        <v>8</v>
      </c>
      <c r="N50">
        <v>34</v>
      </c>
      <c r="O50" s="2">
        <v>307074.53999999998</v>
      </c>
      <c r="P50" s="2">
        <v>111.1</v>
      </c>
      <c r="Q50" s="2">
        <v>104.37</v>
      </c>
    </row>
    <row r="51" spans="1:17" x14ac:dyDescent="0.45">
      <c r="A51" s="1">
        <v>44896</v>
      </c>
      <c r="B51">
        <v>2023</v>
      </c>
      <c r="C51">
        <v>3</v>
      </c>
      <c r="D51" t="s">
        <v>25</v>
      </c>
      <c r="E51" s="2">
        <v>4499000</v>
      </c>
      <c r="F51" s="2">
        <v>391352.89</v>
      </c>
      <c r="G51" s="2">
        <v>297306.46999999997</v>
      </c>
      <c r="H51" s="2">
        <v>82196.91</v>
      </c>
      <c r="I51" s="2">
        <v>7391.51</v>
      </c>
      <c r="J51">
        <v>31</v>
      </c>
      <c r="K51">
        <v>3</v>
      </c>
      <c r="L51">
        <v>33</v>
      </c>
      <c r="M51">
        <v>1</v>
      </c>
      <c r="N51">
        <v>11</v>
      </c>
      <c r="O51" s="2">
        <v>19994.79</v>
      </c>
      <c r="P51" s="2">
        <v>107.13</v>
      </c>
      <c r="Q51" s="2">
        <v>107.54</v>
      </c>
    </row>
    <row r="52" spans="1:17" x14ac:dyDescent="0.45">
      <c r="A52" s="1">
        <v>45383</v>
      </c>
      <c r="B52">
        <v>2024</v>
      </c>
      <c r="C52">
        <v>7</v>
      </c>
      <c r="D52" t="s">
        <v>19</v>
      </c>
      <c r="E52" s="2">
        <v>5322000</v>
      </c>
      <c r="F52" s="2">
        <v>466338.32</v>
      </c>
      <c r="G52" s="2">
        <v>378490.2</v>
      </c>
      <c r="H52" s="2">
        <v>67937.78</v>
      </c>
      <c r="I52" s="2">
        <v>11398.64</v>
      </c>
      <c r="J52">
        <v>37</v>
      </c>
      <c r="K52">
        <v>3</v>
      </c>
      <c r="L52">
        <v>55</v>
      </c>
      <c r="M52">
        <v>0</v>
      </c>
      <c r="N52">
        <v>8</v>
      </c>
      <c r="O52" s="2">
        <v>7154.76</v>
      </c>
      <c r="P52" s="2">
        <v>99.33</v>
      </c>
      <c r="Q52" s="2">
        <v>112.17</v>
      </c>
    </row>
    <row r="53" spans="1:17" x14ac:dyDescent="0.45">
      <c r="A53" s="1">
        <v>45200</v>
      </c>
      <c r="B53">
        <v>2024</v>
      </c>
      <c r="C53">
        <v>1</v>
      </c>
      <c r="D53" t="s">
        <v>27</v>
      </c>
      <c r="E53" s="2">
        <v>27718000</v>
      </c>
      <c r="F53" s="2">
        <v>2335809.67</v>
      </c>
      <c r="G53" s="2">
        <v>1787206.39</v>
      </c>
      <c r="H53" s="2">
        <v>498735.96</v>
      </c>
      <c r="I53" s="2">
        <v>83233.66</v>
      </c>
      <c r="J53">
        <v>208</v>
      </c>
      <c r="K53">
        <v>17</v>
      </c>
      <c r="L53">
        <v>796</v>
      </c>
      <c r="M53">
        <v>10</v>
      </c>
      <c r="N53">
        <v>39</v>
      </c>
      <c r="O53" s="2">
        <v>744941.43</v>
      </c>
      <c r="P53" s="2">
        <v>100.76</v>
      </c>
      <c r="Q53" s="2">
        <v>109.88</v>
      </c>
    </row>
    <row r="54" spans="1:17" x14ac:dyDescent="0.45">
      <c r="A54" s="1">
        <v>44713</v>
      </c>
      <c r="B54">
        <v>2022</v>
      </c>
      <c r="C54">
        <v>9</v>
      </c>
      <c r="D54" t="s">
        <v>17</v>
      </c>
      <c r="E54" s="2">
        <v>7555000</v>
      </c>
      <c r="F54" s="2">
        <v>569928.94999999995</v>
      </c>
      <c r="G54" s="2">
        <v>343381.8</v>
      </c>
      <c r="H54" s="2">
        <v>230815.31</v>
      </c>
      <c r="I54" s="2">
        <v>11370.2</v>
      </c>
      <c r="J54">
        <v>43</v>
      </c>
      <c r="K54">
        <v>0</v>
      </c>
      <c r="L54">
        <v>71</v>
      </c>
      <c r="M54">
        <v>1</v>
      </c>
      <c r="N54">
        <v>13</v>
      </c>
      <c r="O54" s="2">
        <v>24042.400000000001</v>
      </c>
      <c r="P54" s="2">
        <v>106.73</v>
      </c>
      <c r="Q54" s="2">
        <v>105.89</v>
      </c>
    </row>
    <row r="55" spans="1:17" x14ac:dyDescent="0.45">
      <c r="A55" s="1">
        <v>44501</v>
      </c>
      <c r="B55">
        <v>2022</v>
      </c>
      <c r="C55">
        <v>2</v>
      </c>
      <c r="D55" t="s">
        <v>21</v>
      </c>
      <c r="E55" s="2">
        <v>8280000</v>
      </c>
      <c r="F55" s="2">
        <v>722309.77</v>
      </c>
      <c r="G55" s="2">
        <v>430383.57</v>
      </c>
      <c r="H55" s="2">
        <v>238688.68</v>
      </c>
      <c r="I55" s="2">
        <v>19538.25</v>
      </c>
      <c r="J55">
        <v>64</v>
      </c>
      <c r="K55">
        <v>3</v>
      </c>
      <c r="L55">
        <v>137</v>
      </c>
      <c r="M55">
        <v>6</v>
      </c>
      <c r="N55">
        <v>23</v>
      </c>
      <c r="O55" s="2">
        <v>84114.58</v>
      </c>
      <c r="P55" s="2">
        <v>105.79</v>
      </c>
      <c r="Q55" s="2">
        <v>102.58</v>
      </c>
    </row>
    <row r="56" spans="1:17" x14ac:dyDescent="0.45">
      <c r="A56" s="1">
        <v>44986</v>
      </c>
      <c r="B56">
        <v>2023</v>
      </c>
      <c r="C56">
        <v>6</v>
      </c>
      <c r="D56" t="s">
        <v>28</v>
      </c>
      <c r="E56" s="2">
        <v>23567000</v>
      </c>
      <c r="F56" s="2">
        <v>2011128.14</v>
      </c>
      <c r="G56" s="2">
        <v>1616599.17</v>
      </c>
      <c r="H56" s="2">
        <v>422605.37</v>
      </c>
      <c r="I56" s="2">
        <v>22269.31</v>
      </c>
      <c r="J56">
        <v>180</v>
      </c>
      <c r="K56">
        <v>13</v>
      </c>
      <c r="L56">
        <v>576</v>
      </c>
      <c r="M56">
        <v>6</v>
      </c>
      <c r="N56">
        <v>31</v>
      </c>
      <c r="O56" s="2">
        <v>430766.51</v>
      </c>
      <c r="P56" s="2">
        <v>105.46</v>
      </c>
      <c r="Q56" s="2">
        <v>107.9</v>
      </c>
    </row>
    <row r="57" spans="1:17" x14ac:dyDescent="0.45">
      <c r="A57" s="1">
        <v>44713</v>
      </c>
      <c r="B57">
        <v>2022</v>
      </c>
      <c r="C57">
        <v>9</v>
      </c>
      <c r="D57" t="s">
        <v>23</v>
      </c>
      <c r="E57" s="2">
        <v>19665000</v>
      </c>
      <c r="F57" s="2">
        <v>1425440.27</v>
      </c>
      <c r="G57" s="2">
        <v>750729.9</v>
      </c>
      <c r="H57" s="2">
        <v>672595.36</v>
      </c>
      <c r="I57" s="2">
        <v>54684.639999999999</v>
      </c>
      <c r="J57">
        <v>96</v>
      </c>
      <c r="K57">
        <v>8</v>
      </c>
      <c r="L57">
        <v>337</v>
      </c>
      <c r="M57">
        <v>5</v>
      </c>
      <c r="N57">
        <v>26</v>
      </c>
      <c r="O57" s="2">
        <v>192156.59</v>
      </c>
      <c r="P57" s="2">
        <v>111.6</v>
      </c>
      <c r="Q57" s="2">
        <v>104.68</v>
      </c>
    </row>
    <row r="58" spans="1:17" x14ac:dyDescent="0.45">
      <c r="A58" s="1">
        <v>44348</v>
      </c>
      <c r="B58">
        <v>2021</v>
      </c>
      <c r="C58">
        <v>9</v>
      </c>
      <c r="D58" t="s">
        <v>28</v>
      </c>
      <c r="E58" s="2">
        <v>22000000</v>
      </c>
      <c r="F58" s="2">
        <v>1789855.45</v>
      </c>
      <c r="G58" s="2">
        <v>1506975.11</v>
      </c>
      <c r="H58" s="2">
        <v>330957.13</v>
      </c>
      <c r="I58" s="2">
        <v>33019.99</v>
      </c>
      <c r="J58">
        <v>180</v>
      </c>
      <c r="K58">
        <v>13</v>
      </c>
      <c r="L58">
        <v>799</v>
      </c>
      <c r="M58">
        <v>4</v>
      </c>
      <c r="N58">
        <v>26</v>
      </c>
      <c r="O58" s="2">
        <v>312922.59000000003</v>
      </c>
      <c r="P58" s="2">
        <v>104.63</v>
      </c>
      <c r="Q58" s="2">
        <v>101.25</v>
      </c>
    </row>
    <row r="59" spans="1:17" x14ac:dyDescent="0.45">
      <c r="A59" s="1">
        <v>44986</v>
      </c>
      <c r="B59">
        <v>2023</v>
      </c>
      <c r="C59">
        <v>6</v>
      </c>
      <c r="D59" t="s">
        <v>18</v>
      </c>
      <c r="E59" s="2">
        <v>3749000</v>
      </c>
      <c r="F59" s="2">
        <v>326661.26</v>
      </c>
      <c r="G59" s="2">
        <v>279725.65000000002</v>
      </c>
      <c r="H59" s="2">
        <v>42384.43</v>
      </c>
      <c r="I59" s="2">
        <v>6479.36</v>
      </c>
      <c r="J59">
        <v>28</v>
      </c>
      <c r="K59">
        <v>3</v>
      </c>
      <c r="L59">
        <v>40</v>
      </c>
      <c r="M59">
        <v>1</v>
      </c>
      <c r="N59">
        <v>8</v>
      </c>
      <c r="O59" s="2">
        <v>9327.09</v>
      </c>
      <c r="P59" s="2">
        <v>106.44</v>
      </c>
      <c r="Q59" s="2">
        <v>107.85</v>
      </c>
    </row>
    <row r="60" spans="1:17" x14ac:dyDescent="0.45">
      <c r="A60" s="1">
        <v>45078</v>
      </c>
      <c r="B60">
        <v>2023</v>
      </c>
      <c r="C60">
        <v>9</v>
      </c>
      <c r="D60" t="s">
        <v>21</v>
      </c>
      <c r="E60" s="2">
        <v>8570000</v>
      </c>
      <c r="F60" s="2">
        <v>719141</v>
      </c>
      <c r="G60" s="2">
        <v>470651.5</v>
      </c>
      <c r="H60" s="2">
        <v>216706.53</v>
      </c>
      <c r="I60" s="2">
        <v>30387.99</v>
      </c>
      <c r="J60">
        <v>68</v>
      </c>
      <c r="K60">
        <v>3</v>
      </c>
      <c r="L60">
        <v>63</v>
      </c>
      <c r="M60">
        <v>4</v>
      </c>
      <c r="N60">
        <v>12</v>
      </c>
      <c r="O60" s="2">
        <v>71984.600000000006</v>
      </c>
      <c r="P60" s="2">
        <v>106.14</v>
      </c>
      <c r="Q60" s="2">
        <v>109.52</v>
      </c>
    </row>
    <row r="61" spans="1:17" x14ac:dyDescent="0.45">
      <c r="A61" s="1">
        <v>44409</v>
      </c>
      <c r="B61">
        <v>2021</v>
      </c>
      <c r="C61">
        <v>11</v>
      </c>
      <c r="D61" t="s">
        <v>19</v>
      </c>
      <c r="E61" s="2">
        <v>4800000</v>
      </c>
      <c r="F61" s="2">
        <v>396322.24</v>
      </c>
      <c r="G61" s="2">
        <v>323381.67</v>
      </c>
      <c r="H61" s="2">
        <v>60446.22</v>
      </c>
      <c r="I61" s="2">
        <v>9775.4</v>
      </c>
      <c r="J61">
        <v>36</v>
      </c>
      <c r="K61">
        <v>6</v>
      </c>
      <c r="L61">
        <v>32</v>
      </c>
      <c r="M61">
        <v>0</v>
      </c>
      <c r="N61">
        <v>13</v>
      </c>
      <c r="O61" s="2">
        <v>9596.1200000000008</v>
      </c>
      <c r="P61" s="2">
        <v>105.66</v>
      </c>
      <c r="Q61" s="2">
        <v>102.04</v>
      </c>
    </row>
    <row r="62" spans="1:17" x14ac:dyDescent="0.45">
      <c r="A62" s="1">
        <v>44501</v>
      </c>
      <c r="B62">
        <v>2022</v>
      </c>
      <c r="C62">
        <v>2</v>
      </c>
      <c r="D62" t="s">
        <v>19</v>
      </c>
      <c r="E62" s="2">
        <v>4968000</v>
      </c>
      <c r="F62" s="2">
        <v>417332.77</v>
      </c>
      <c r="G62" s="2">
        <v>345592.43</v>
      </c>
      <c r="H62" s="2">
        <v>67741.22</v>
      </c>
      <c r="I62" s="2">
        <v>5938.43</v>
      </c>
      <c r="J62">
        <v>36</v>
      </c>
      <c r="K62">
        <v>0</v>
      </c>
      <c r="L62">
        <v>24</v>
      </c>
      <c r="M62">
        <v>1</v>
      </c>
      <c r="N62">
        <v>6</v>
      </c>
      <c r="O62" s="2">
        <v>16395.54</v>
      </c>
      <c r="P62" s="2">
        <v>112.2</v>
      </c>
      <c r="Q62" s="2">
        <v>103.32</v>
      </c>
    </row>
    <row r="63" spans="1:17" x14ac:dyDescent="0.45">
      <c r="A63" s="1">
        <v>44866</v>
      </c>
      <c r="B63">
        <v>2023</v>
      </c>
      <c r="C63">
        <v>2</v>
      </c>
      <c r="D63" t="s">
        <v>21</v>
      </c>
      <c r="E63" s="2">
        <v>8570000</v>
      </c>
      <c r="F63" s="2">
        <v>710985.3</v>
      </c>
      <c r="G63" s="2">
        <v>480352.42</v>
      </c>
      <c r="H63" s="2">
        <v>198327.34</v>
      </c>
      <c r="I63" s="2">
        <v>33558.019999999997</v>
      </c>
      <c r="J63">
        <v>67</v>
      </c>
      <c r="K63">
        <v>4</v>
      </c>
      <c r="L63">
        <v>42</v>
      </c>
      <c r="M63">
        <v>2</v>
      </c>
      <c r="N63">
        <v>13</v>
      </c>
      <c r="O63" s="2">
        <v>39284.5</v>
      </c>
      <c r="P63" s="2">
        <v>110.2</v>
      </c>
      <c r="Q63" s="2">
        <v>106.92</v>
      </c>
    </row>
    <row r="64" spans="1:17" x14ac:dyDescent="0.45">
      <c r="A64" s="1">
        <v>45139</v>
      </c>
      <c r="B64">
        <v>2023</v>
      </c>
      <c r="C64">
        <v>11</v>
      </c>
      <c r="D64" t="s">
        <v>27</v>
      </c>
      <c r="E64" s="2">
        <v>26781000</v>
      </c>
      <c r="F64" s="2">
        <v>2679033.2000000002</v>
      </c>
      <c r="G64" s="2">
        <v>1803262.1</v>
      </c>
      <c r="H64" s="2">
        <v>449169.89</v>
      </c>
      <c r="I64" s="2">
        <v>316531.46000000002</v>
      </c>
      <c r="J64">
        <v>208</v>
      </c>
      <c r="K64">
        <v>15</v>
      </c>
      <c r="L64">
        <v>853</v>
      </c>
      <c r="M64">
        <v>5</v>
      </c>
      <c r="N64">
        <v>26</v>
      </c>
      <c r="O64" s="2">
        <v>439753.09</v>
      </c>
      <c r="P64" s="2">
        <v>102.3</v>
      </c>
      <c r="Q64" s="2">
        <v>110.34</v>
      </c>
    </row>
    <row r="65" spans="1:17" x14ac:dyDescent="0.45">
      <c r="A65" s="1">
        <v>45078</v>
      </c>
      <c r="B65">
        <v>2023</v>
      </c>
      <c r="C65">
        <v>9</v>
      </c>
      <c r="D65" t="s">
        <v>17</v>
      </c>
      <c r="E65" s="2">
        <v>7820000</v>
      </c>
      <c r="F65" s="2">
        <v>642399.49</v>
      </c>
      <c r="G65" s="2">
        <v>327593.32</v>
      </c>
      <c r="H65" s="2">
        <v>280714.58</v>
      </c>
      <c r="I65" s="2">
        <v>44834.080000000002</v>
      </c>
      <c r="J65">
        <v>41</v>
      </c>
      <c r="K65">
        <v>0</v>
      </c>
      <c r="L65">
        <v>86</v>
      </c>
      <c r="M65">
        <v>3</v>
      </c>
      <c r="N65">
        <v>17</v>
      </c>
      <c r="O65" s="2">
        <v>48961.02</v>
      </c>
      <c r="P65" s="2">
        <v>105.13</v>
      </c>
      <c r="Q65" s="2">
        <v>109.01</v>
      </c>
    </row>
    <row r="66" spans="1:17" x14ac:dyDescent="0.45">
      <c r="A66" s="1">
        <v>45139</v>
      </c>
      <c r="B66">
        <v>2023</v>
      </c>
      <c r="C66">
        <v>11</v>
      </c>
      <c r="D66" t="s">
        <v>18</v>
      </c>
      <c r="E66" s="2">
        <v>3749000</v>
      </c>
      <c r="F66" s="2">
        <v>305937.7</v>
      </c>
      <c r="G66" s="2">
        <v>258961.12</v>
      </c>
      <c r="H66" s="2">
        <v>39401.65</v>
      </c>
      <c r="I66" s="2">
        <v>2882.26</v>
      </c>
      <c r="J66">
        <v>26</v>
      </c>
      <c r="K66">
        <v>0</v>
      </c>
      <c r="L66">
        <v>40</v>
      </c>
      <c r="M66">
        <v>2</v>
      </c>
      <c r="N66">
        <v>14</v>
      </c>
      <c r="O66" s="2">
        <v>22444.43</v>
      </c>
      <c r="P66" s="2">
        <v>102.15</v>
      </c>
      <c r="Q66" s="2">
        <v>109.56</v>
      </c>
    </row>
    <row r="67" spans="1:17" x14ac:dyDescent="0.45">
      <c r="A67" s="1">
        <v>45901</v>
      </c>
      <c r="B67">
        <v>2025</v>
      </c>
      <c r="C67">
        <v>12</v>
      </c>
      <c r="D67" t="s">
        <v>27</v>
      </c>
      <c r="E67" s="2">
        <v>28688000</v>
      </c>
      <c r="F67" s="2">
        <v>2530048.5</v>
      </c>
      <c r="G67" s="2">
        <v>1892707.42</v>
      </c>
      <c r="H67" s="2">
        <v>497644.56</v>
      </c>
      <c r="I67" s="2">
        <v>87171.01</v>
      </c>
      <c r="J67">
        <v>212</v>
      </c>
      <c r="K67">
        <v>17</v>
      </c>
      <c r="L67">
        <v>887</v>
      </c>
      <c r="M67">
        <v>10</v>
      </c>
      <c r="N67">
        <v>41</v>
      </c>
      <c r="O67" s="2">
        <v>816055.17</v>
      </c>
      <c r="P67" s="2">
        <v>113.38</v>
      </c>
      <c r="Q67" s="2">
        <v>116.96</v>
      </c>
    </row>
    <row r="68" spans="1:17" x14ac:dyDescent="0.45">
      <c r="A68" s="1">
        <v>44743</v>
      </c>
      <c r="B68">
        <v>2022</v>
      </c>
      <c r="C68">
        <v>10</v>
      </c>
      <c r="D68" t="s">
        <v>19</v>
      </c>
      <c r="E68" s="2">
        <v>4968000</v>
      </c>
      <c r="F68" s="2">
        <v>406280.37</v>
      </c>
      <c r="G68" s="2">
        <v>345235.19</v>
      </c>
      <c r="H68" s="2">
        <v>61439.34</v>
      </c>
      <c r="I68" s="2">
        <v>8286.48</v>
      </c>
      <c r="J68">
        <v>35</v>
      </c>
      <c r="K68">
        <v>2</v>
      </c>
      <c r="L68">
        <v>57</v>
      </c>
      <c r="M68">
        <v>1</v>
      </c>
      <c r="N68">
        <v>10</v>
      </c>
      <c r="O68" s="2">
        <v>20014.46</v>
      </c>
      <c r="P68" s="2">
        <v>110.96</v>
      </c>
      <c r="Q68" s="2">
        <v>106</v>
      </c>
    </row>
    <row r="69" spans="1:17" x14ac:dyDescent="0.45">
      <c r="A69" s="1">
        <v>44440</v>
      </c>
      <c r="B69">
        <v>2021</v>
      </c>
      <c r="C69">
        <v>12</v>
      </c>
      <c r="D69" t="s">
        <v>24</v>
      </c>
      <c r="E69" s="2">
        <v>13500000</v>
      </c>
      <c r="F69" s="2">
        <v>1065746.07</v>
      </c>
      <c r="G69" s="2">
        <v>549884.12</v>
      </c>
      <c r="H69" s="2">
        <v>464592.62</v>
      </c>
      <c r="I69" s="2">
        <v>54554.34</v>
      </c>
      <c r="J69">
        <v>79</v>
      </c>
      <c r="K69">
        <v>2</v>
      </c>
      <c r="L69">
        <v>104</v>
      </c>
      <c r="M69">
        <v>6</v>
      </c>
      <c r="N69">
        <v>26</v>
      </c>
      <c r="O69" s="2">
        <v>202457.61</v>
      </c>
      <c r="P69" s="2">
        <v>106.27</v>
      </c>
      <c r="Q69" s="2">
        <v>103.2</v>
      </c>
    </row>
    <row r="70" spans="1:17" x14ac:dyDescent="0.45">
      <c r="A70" s="1">
        <v>44652</v>
      </c>
      <c r="B70">
        <v>2022</v>
      </c>
      <c r="C70">
        <v>7</v>
      </c>
      <c r="D70" t="s">
        <v>18</v>
      </c>
      <c r="E70" s="2">
        <v>3622000</v>
      </c>
      <c r="F70" s="2">
        <v>308579.74</v>
      </c>
      <c r="G70" s="2">
        <v>259292.08</v>
      </c>
      <c r="H70" s="2">
        <v>43447.57</v>
      </c>
      <c r="I70" s="2">
        <v>5598.01</v>
      </c>
      <c r="J70">
        <v>27</v>
      </c>
      <c r="K70">
        <v>0</v>
      </c>
      <c r="L70">
        <v>32</v>
      </c>
      <c r="M70">
        <v>3</v>
      </c>
      <c r="N70">
        <v>15</v>
      </c>
      <c r="O70" s="2">
        <v>27835.16</v>
      </c>
      <c r="P70" s="2">
        <v>111.98</v>
      </c>
      <c r="Q70" s="2">
        <v>105.12</v>
      </c>
    </row>
    <row r="71" spans="1:17" x14ac:dyDescent="0.45">
      <c r="A71" s="1">
        <v>45047</v>
      </c>
      <c r="B71">
        <v>2023</v>
      </c>
      <c r="C71">
        <v>8</v>
      </c>
      <c r="D71" t="s">
        <v>18</v>
      </c>
      <c r="E71" s="2">
        <v>3749000</v>
      </c>
      <c r="F71" s="2">
        <v>358246.65</v>
      </c>
      <c r="G71" s="2">
        <v>297333.49</v>
      </c>
      <c r="H71" s="2">
        <v>42725.65</v>
      </c>
      <c r="I71" s="2">
        <v>20195.900000000001</v>
      </c>
      <c r="J71">
        <v>29</v>
      </c>
      <c r="K71">
        <v>1</v>
      </c>
      <c r="L71">
        <v>53</v>
      </c>
      <c r="M71">
        <v>3</v>
      </c>
      <c r="N71">
        <v>15</v>
      </c>
      <c r="O71" s="2">
        <v>33736.660000000003</v>
      </c>
      <c r="P71" s="2">
        <v>104.88</v>
      </c>
      <c r="Q71" s="2">
        <v>109.07</v>
      </c>
    </row>
    <row r="72" spans="1:17" x14ac:dyDescent="0.45">
      <c r="A72" s="1">
        <v>45139</v>
      </c>
      <c r="B72">
        <v>2023</v>
      </c>
      <c r="C72">
        <v>11</v>
      </c>
      <c r="D72" t="s">
        <v>21</v>
      </c>
      <c r="E72" s="2">
        <v>8570000</v>
      </c>
      <c r="F72" s="2">
        <v>805745.46</v>
      </c>
      <c r="G72" s="2">
        <v>462394.24</v>
      </c>
      <c r="H72" s="2">
        <v>214796.38</v>
      </c>
      <c r="I72" s="2">
        <v>134251.26999999999</v>
      </c>
      <c r="J72">
        <v>64</v>
      </c>
      <c r="K72">
        <v>2</v>
      </c>
      <c r="L72">
        <v>149</v>
      </c>
      <c r="M72">
        <v>1</v>
      </c>
      <c r="N72">
        <v>16</v>
      </c>
      <c r="O72" s="2">
        <v>32690.89</v>
      </c>
      <c r="P72" s="2">
        <v>102.39</v>
      </c>
      <c r="Q72" s="2">
        <v>108.5</v>
      </c>
    </row>
    <row r="73" spans="1:17" x14ac:dyDescent="0.45">
      <c r="A73" s="1">
        <v>44440</v>
      </c>
      <c r="B73">
        <v>2021</v>
      </c>
      <c r="C73">
        <v>12</v>
      </c>
      <c r="D73" t="s">
        <v>19</v>
      </c>
      <c r="E73" s="2">
        <v>4800000</v>
      </c>
      <c r="F73" s="2">
        <v>423164.1</v>
      </c>
      <c r="G73" s="2">
        <v>342691.35</v>
      </c>
      <c r="H73" s="2">
        <v>63335.65</v>
      </c>
      <c r="I73" s="2">
        <v>8298.92</v>
      </c>
      <c r="J73">
        <v>37</v>
      </c>
      <c r="K73">
        <v>2</v>
      </c>
      <c r="L73">
        <v>85</v>
      </c>
      <c r="M73">
        <v>4</v>
      </c>
      <c r="N73">
        <v>20</v>
      </c>
      <c r="O73" s="2">
        <v>51037.96</v>
      </c>
      <c r="P73" s="2">
        <v>108.8</v>
      </c>
      <c r="Q73" s="2">
        <v>102.22</v>
      </c>
    </row>
    <row r="74" spans="1:17" x14ac:dyDescent="0.45">
      <c r="A74" s="1">
        <v>45231</v>
      </c>
      <c r="B74">
        <v>2024</v>
      </c>
      <c r="C74">
        <v>2</v>
      </c>
      <c r="D74" t="s">
        <v>17</v>
      </c>
      <c r="E74" s="2">
        <v>8094000</v>
      </c>
      <c r="F74" s="2">
        <v>663063.84</v>
      </c>
      <c r="G74" s="2">
        <v>353305.03</v>
      </c>
      <c r="H74" s="2">
        <v>301923.93</v>
      </c>
      <c r="I74" s="2">
        <v>26150.86</v>
      </c>
      <c r="J74">
        <v>44</v>
      </c>
      <c r="K74">
        <v>3</v>
      </c>
      <c r="L74">
        <v>0</v>
      </c>
      <c r="M74">
        <v>1</v>
      </c>
      <c r="N74">
        <v>17</v>
      </c>
      <c r="O74" s="2">
        <v>30134.23</v>
      </c>
      <c r="P74" s="2">
        <v>103.41</v>
      </c>
      <c r="Q74" s="2">
        <v>111.04</v>
      </c>
    </row>
    <row r="75" spans="1:17" x14ac:dyDescent="0.45">
      <c r="A75" s="1">
        <v>44927</v>
      </c>
      <c r="B75">
        <v>2023</v>
      </c>
      <c r="C75">
        <v>4</v>
      </c>
      <c r="D75" t="s">
        <v>23</v>
      </c>
      <c r="E75" s="2">
        <v>20353000</v>
      </c>
      <c r="F75" s="2">
        <v>1348283.66</v>
      </c>
      <c r="G75" s="2">
        <v>767045.3</v>
      </c>
      <c r="H75" s="2">
        <v>702937.1</v>
      </c>
      <c r="I75" s="2">
        <v>33500.53</v>
      </c>
      <c r="J75">
        <v>94</v>
      </c>
      <c r="K75">
        <v>10</v>
      </c>
      <c r="L75">
        <v>257</v>
      </c>
      <c r="M75">
        <v>7</v>
      </c>
      <c r="N75">
        <v>30</v>
      </c>
      <c r="O75" s="2">
        <v>352939.54</v>
      </c>
      <c r="P75" s="2">
        <v>106.1</v>
      </c>
      <c r="Q75" s="2">
        <v>107.42</v>
      </c>
    </row>
    <row r="76" spans="1:17" x14ac:dyDescent="0.45">
      <c r="A76" s="1">
        <v>44409</v>
      </c>
      <c r="B76">
        <v>2021</v>
      </c>
      <c r="C76">
        <v>11</v>
      </c>
      <c r="D76" t="s">
        <v>25</v>
      </c>
      <c r="E76" s="2">
        <v>4200000</v>
      </c>
      <c r="F76" s="2">
        <v>350967.16</v>
      </c>
      <c r="G76" s="2">
        <v>295549.39</v>
      </c>
      <c r="H76" s="2">
        <v>57769.440000000002</v>
      </c>
      <c r="I76" s="2">
        <v>4936.03</v>
      </c>
      <c r="J76">
        <v>32</v>
      </c>
      <c r="K76">
        <v>2</v>
      </c>
      <c r="L76">
        <v>15</v>
      </c>
      <c r="M76">
        <v>1</v>
      </c>
      <c r="N76">
        <v>7</v>
      </c>
      <c r="O76" s="2">
        <v>15626.09</v>
      </c>
      <c r="P76" s="2">
        <v>106.97</v>
      </c>
      <c r="Q76" s="2">
        <v>103.34</v>
      </c>
    </row>
    <row r="77" spans="1:17" x14ac:dyDescent="0.45">
      <c r="A77" s="1">
        <v>44348</v>
      </c>
      <c r="B77">
        <v>2021</v>
      </c>
      <c r="C77">
        <v>9</v>
      </c>
      <c r="D77" t="s">
        <v>23</v>
      </c>
      <c r="E77" s="2">
        <v>19000000</v>
      </c>
      <c r="F77" s="2">
        <v>1577067.89</v>
      </c>
      <c r="G77" s="2">
        <v>664003.32999999996</v>
      </c>
      <c r="H77" s="2">
        <v>737290.18</v>
      </c>
      <c r="I77" s="2">
        <v>124674.56</v>
      </c>
      <c r="J77">
        <v>89</v>
      </c>
      <c r="K77">
        <v>4</v>
      </c>
      <c r="L77">
        <v>314</v>
      </c>
      <c r="M77">
        <v>6</v>
      </c>
      <c r="N77">
        <v>28</v>
      </c>
      <c r="O77" s="2">
        <v>305381.3</v>
      </c>
      <c r="P77" s="2">
        <v>107.95</v>
      </c>
      <c r="Q77" s="2">
        <v>101.64</v>
      </c>
    </row>
    <row r="78" spans="1:17" x14ac:dyDescent="0.45">
      <c r="A78" s="1">
        <v>45809</v>
      </c>
      <c r="B78">
        <v>2025</v>
      </c>
      <c r="C78">
        <v>9</v>
      </c>
      <c r="D78" t="s">
        <v>25</v>
      </c>
      <c r="E78" s="2">
        <v>4820000</v>
      </c>
      <c r="F78" s="2">
        <v>423417.98</v>
      </c>
      <c r="G78" s="2">
        <v>340028.85</v>
      </c>
      <c r="H78" s="2">
        <v>69303.740000000005</v>
      </c>
      <c r="I78" s="2">
        <v>10674.35</v>
      </c>
      <c r="J78">
        <v>34</v>
      </c>
      <c r="K78">
        <v>3</v>
      </c>
      <c r="L78">
        <v>49</v>
      </c>
      <c r="M78">
        <v>1</v>
      </c>
      <c r="N78">
        <v>13</v>
      </c>
      <c r="O78" s="2">
        <v>15767.09</v>
      </c>
      <c r="P78" s="2">
        <v>115.53</v>
      </c>
      <c r="Q78" s="2">
        <v>117.24</v>
      </c>
    </row>
    <row r="79" spans="1:17" x14ac:dyDescent="0.45">
      <c r="A79" s="1">
        <v>44531</v>
      </c>
      <c r="B79">
        <v>2022</v>
      </c>
      <c r="C79">
        <v>3</v>
      </c>
      <c r="D79" t="s">
        <v>17</v>
      </c>
      <c r="E79" s="2">
        <v>7555000</v>
      </c>
      <c r="F79" s="2">
        <v>595531.02</v>
      </c>
      <c r="G79" s="2">
        <v>311481.32</v>
      </c>
      <c r="H79" s="2">
        <v>276275.76</v>
      </c>
      <c r="I79" s="2">
        <v>25783.09</v>
      </c>
      <c r="J79">
        <v>43</v>
      </c>
      <c r="K79">
        <v>7</v>
      </c>
      <c r="L79">
        <v>79</v>
      </c>
      <c r="M79">
        <v>5</v>
      </c>
      <c r="N79">
        <v>19</v>
      </c>
      <c r="O79" s="2">
        <v>67116.23</v>
      </c>
      <c r="P79" s="2">
        <v>109.55</v>
      </c>
      <c r="Q79" s="2">
        <v>103.58</v>
      </c>
    </row>
    <row r="80" spans="1:17" x14ac:dyDescent="0.45">
      <c r="A80" s="1">
        <v>45931</v>
      </c>
      <c r="B80">
        <v>2026</v>
      </c>
      <c r="C80">
        <v>1</v>
      </c>
      <c r="D80" t="s">
        <v>28</v>
      </c>
      <c r="E80" s="2">
        <v>26129000</v>
      </c>
      <c r="F80" s="2">
        <v>2483050.12</v>
      </c>
      <c r="G80" s="2">
        <v>1870989.27</v>
      </c>
      <c r="H80" s="2">
        <v>427568.95</v>
      </c>
      <c r="I80" s="2">
        <v>75206.58</v>
      </c>
      <c r="J80">
        <v>182</v>
      </c>
      <c r="K80">
        <v>11</v>
      </c>
      <c r="L80">
        <v>903</v>
      </c>
      <c r="M80">
        <v>8</v>
      </c>
      <c r="N80">
        <v>28</v>
      </c>
      <c r="O80" s="2">
        <v>622778.71</v>
      </c>
      <c r="P80" s="2">
        <v>121.04</v>
      </c>
      <c r="Q80" s="2">
        <v>118.11</v>
      </c>
    </row>
    <row r="81" spans="1:17" x14ac:dyDescent="0.45">
      <c r="A81" s="1">
        <v>45139</v>
      </c>
      <c r="B81">
        <v>2023</v>
      </c>
      <c r="C81">
        <v>11</v>
      </c>
      <c r="D81" t="s">
        <v>19</v>
      </c>
      <c r="E81" s="2">
        <v>5142000</v>
      </c>
      <c r="F81" s="2">
        <v>456372.64</v>
      </c>
      <c r="G81" s="2">
        <v>385427.74</v>
      </c>
      <c r="H81" s="2">
        <v>61004.03</v>
      </c>
      <c r="I81" s="2">
        <v>9135.57</v>
      </c>
      <c r="J81">
        <v>38</v>
      </c>
      <c r="K81">
        <v>3</v>
      </c>
      <c r="L81">
        <v>29</v>
      </c>
      <c r="M81">
        <v>2</v>
      </c>
      <c r="N81">
        <v>9</v>
      </c>
      <c r="O81" s="2">
        <v>21520.63</v>
      </c>
      <c r="P81" s="2">
        <v>101.9</v>
      </c>
      <c r="Q81" s="2">
        <v>109.11</v>
      </c>
    </row>
    <row r="82" spans="1:17" x14ac:dyDescent="0.45">
      <c r="A82" s="1">
        <v>44562</v>
      </c>
      <c r="B82">
        <v>2022</v>
      </c>
      <c r="C82">
        <v>4</v>
      </c>
      <c r="D82" t="s">
        <v>19</v>
      </c>
      <c r="E82" s="2">
        <v>4968000</v>
      </c>
      <c r="F82" s="2">
        <v>413891.48</v>
      </c>
      <c r="G82" s="2">
        <v>354012.15</v>
      </c>
      <c r="H82" s="2">
        <v>54097.69</v>
      </c>
      <c r="I82" s="2">
        <v>4084.36</v>
      </c>
      <c r="J82">
        <v>36</v>
      </c>
      <c r="K82">
        <v>5</v>
      </c>
      <c r="L82">
        <v>10</v>
      </c>
      <c r="M82">
        <v>2</v>
      </c>
      <c r="N82">
        <v>12</v>
      </c>
      <c r="O82" s="2">
        <v>23383.23</v>
      </c>
      <c r="P82" s="2">
        <v>111</v>
      </c>
      <c r="Q82" s="2">
        <v>103.53</v>
      </c>
    </row>
    <row r="83" spans="1:17" x14ac:dyDescent="0.45">
      <c r="A83" s="1">
        <v>45536</v>
      </c>
      <c r="B83">
        <v>2024</v>
      </c>
      <c r="C83">
        <v>12</v>
      </c>
      <c r="D83" t="s">
        <v>19</v>
      </c>
      <c r="E83" s="2">
        <v>5322000</v>
      </c>
      <c r="F83" s="2">
        <v>469860.25</v>
      </c>
      <c r="G83" s="2">
        <v>391786.52</v>
      </c>
      <c r="H83" s="2">
        <v>69665.119999999995</v>
      </c>
      <c r="I83" s="2">
        <v>9249.59</v>
      </c>
      <c r="J83">
        <v>38</v>
      </c>
      <c r="K83">
        <v>0</v>
      </c>
      <c r="L83">
        <v>54</v>
      </c>
      <c r="M83">
        <v>1</v>
      </c>
      <c r="N83">
        <v>16</v>
      </c>
      <c r="O83" s="2">
        <v>20262.13</v>
      </c>
      <c r="P83" s="2">
        <v>102.79</v>
      </c>
      <c r="Q83" s="2">
        <v>113.21</v>
      </c>
    </row>
    <row r="84" spans="1:17" x14ac:dyDescent="0.45">
      <c r="A84" s="1">
        <v>44593</v>
      </c>
      <c r="B84">
        <v>2022</v>
      </c>
      <c r="C84">
        <v>5</v>
      </c>
      <c r="D84" t="s">
        <v>23</v>
      </c>
      <c r="E84" s="2">
        <v>19665000</v>
      </c>
      <c r="F84" s="2">
        <v>1362047.73</v>
      </c>
      <c r="G84" s="2">
        <v>704316.7</v>
      </c>
      <c r="H84" s="2">
        <v>749884.8</v>
      </c>
      <c r="I84" s="2">
        <v>34595.93</v>
      </c>
      <c r="J84">
        <v>93</v>
      </c>
      <c r="K84">
        <v>6</v>
      </c>
      <c r="L84">
        <v>364</v>
      </c>
      <c r="M84">
        <v>5</v>
      </c>
      <c r="N84">
        <v>21</v>
      </c>
      <c r="O84" s="2">
        <v>270593.21999999997</v>
      </c>
      <c r="P84" s="2">
        <v>109.03</v>
      </c>
      <c r="Q84" s="2">
        <v>104.15</v>
      </c>
    </row>
    <row r="85" spans="1:17" x14ac:dyDescent="0.45">
      <c r="A85" s="1">
        <v>45748</v>
      </c>
      <c r="B85">
        <v>2025</v>
      </c>
      <c r="C85">
        <v>7</v>
      </c>
      <c r="D85" t="s">
        <v>27</v>
      </c>
      <c r="E85" s="2">
        <v>28688000</v>
      </c>
      <c r="F85" s="2">
        <v>2438578.06</v>
      </c>
      <c r="G85" s="2">
        <v>1939869.22</v>
      </c>
      <c r="H85" s="2">
        <v>601788.11</v>
      </c>
      <c r="I85" s="2">
        <v>32663.35</v>
      </c>
      <c r="J85">
        <v>208</v>
      </c>
      <c r="K85">
        <v>15</v>
      </c>
      <c r="L85">
        <v>953</v>
      </c>
      <c r="M85">
        <v>6</v>
      </c>
      <c r="N85">
        <v>34</v>
      </c>
      <c r="O85" s="2">
        <v>510976.63</v>
      </c>
      <c r="P85" s="2">
        <v>109.99</v>
      </c>
      <c r="Q85" s="2">
        <v>115.05</v>
      </c>
    </row>
    <row r="86" spans="1:17" x14ac:dyDescent="0.45">
      <c r="A86" s="1">
        <v>44682</v>
      </c>
      <c r="B86">
        <v>2022</v>
      </c>
      <c r="C86">
        <v>8</v>
      </c>
      <c r="D86" t="s">
        <v>18</v>
      </c>
      <c r="E86" s="2">
        <v>3622000</v>
      </c>
      <c r="F86" s="2">
        <v>324428.65000000002</v>
      </c>
      <c r="G86" s="2">
        <v>275834.83</v>
      </c>
      <c r="H86" s="2">
        <v>41365.33</v>
      </c>
      <c r="I86" s="2">
        <v>6257.66</v>
      </c>
      <c r="J86">
        <v>28</v>
      </c>
      <c r="K86">
        <v>3</v>
      </c>
      <c r="L86">
        <v>41</v>
      </c>
      <c r="M86">
        <v>0</v>
      </c>
      <c r="N86">
        <v>9</v>
      </c>
      <c r="O86" s="2">
        <v>5634.73</v>
      </c>
      <c r="P86" s="2">
        <v>111.06</v>
      </c>
      <c r="Q86" s="2">
        <v>105.03</v>
      </c>
    </row>
    <row r="87" spans="1:17" x14ac:dyDescent="0.45">
      <c r="A87" s="1">
        <v>44835</v>
      </c>
      <c r="B87">
        <v>2023</v>
      </c>
      <c r="C87">
        <v>1</v>
      </c>
      <c r="D87" t="s">
        <v>19</v>
      </c>
      <c r="E87" s="2">
        <v>5142000</v>
      </c>
      <c r="F87" s="2">
        <v>447017.53</v>
      </c>
      <c r="G87" s="2">
        <v>359344.63</v>
      </c>
      <c r="H87" s="2">
        <v>68183.69</v>
      </c>
      <c r="I87" s="2">
        <v>32263.81</v>
      </c>
      <c r="J87">
        <v>35</v>
      </c>
      <c r="K87">
        <v>2</v>
      </c>
      <c r="L87">
        <v>87</v>
      </c>
      <c r="M87">
        <v>3</v>
      </c>
      <c r="N87">
        <v>17</v>
      </c>
      <c r="O87" s="2">
        <v>49402.71</v>
      </c>
      <c r="P87" s="2">
        <v>111.27</v>
      </c>
      <c r="Q87" s="2">
        <v>105.84</v>
      </c>
    </row>
    <row r="88" spans="1:17" x14ac:dyDescent="0.45">
      <c r="A88" s="1">
        <v>45689</v>
      </c>
      <c r="B88">
        <v>2025</v>
      </c>
      <c r="C88">
        <v>5</v>
      </c>
      <c r="D88" t="s">
        <v>17</v>
      </c>
      <c r="E88" s="2">
        <v>8377000</v>
      </c>
      <c r="F88" s="2">
        <v>616042.56999999995</v>
      </c>
      <c r="G88" s="2">
        <v>362930.33</v>
      </c>
      <c r="H88" s="2">
        <v>231161.98</v>
      </c>
      <c r="I88" s="2">
        <v>31920.02</v>
      </c>
      <c r="J88">
        <v>44</v>
      </c>
      <c r="L88">
        <v>79</v>
      </c>
      <c r="M88">
        <v>0</v>
      </c>
      <c r="N88">
        <v>13</v>
      </c>
      <c r="O88" s="2">
        <v>14129.91</v>
      </c>
      <c r="P88" s="2">
        <v>112.17</v>
      </c>
      <c r="Q88" s="2">
        <v>115.45</v>
      </c>
    </row>
    <row r="89" spans="1:17" x14ac:dyDescent="0.45">
      <c r="A89" s="1">
        <v>45323</v>
      </c>
      <c r="B89">
        <v>2024</v>
      </c>
      <c r="C89">
        <v>5</v>
      </c>
      <c r="D89" t="s">
        <v>22</v>
      </c>
      <c r="E89" s="2">
        <v>6874000</v>
      </c>
      <c r="F89" s="2">
        <v>589006.09</v>
      </c>
      <c r="G89" s="2">
        <v>269731.53999999998</v>
      </c>
      <c r="H89" s="2">
        <v>210138.48</v>
      </c>
      <c r="I89" s="2">
        <v>133572.23000000001</v>
      </c>
      <c r="J89">
        <v>30</v>
      </c>
      <c r="K89">
        <v>4</v>
      </c>
      <c r="L89">
        <v>39</v>
      </c>
      <c r="M89">
        <v>2</v>
      </c>
      <c r="N89">
        <v>15</v>
      </c>
      <c r="O89" s="2">
        <v>47114.61</v>
      </c>
      <c r="P89" s="2">
        <v>102.11</v>
      </c>
      <c r="Q89" s="2">
        <v>111.46</v>
      </c>
    </row>
    <row r="90" spans="1:17" x14ac:dyDescent="0.45">
      <c r="A90" s="1">
        <v>45413</v>
      </c>
      <c r="B90">
        <v>2024</v>
      </c>
      <c r="C90">
        <v>8</v>
      </c>
      <c r="D90" t="s">
        <v>25</v>
      </c>
      <c r="E90" s="2">
        <v>4657000</v>
      </c>
      <c r="F90" s="2">
        <v>400507.94</v>
      </c>
      <c r="G90" s="2">
        <v>327497.01</v>
      </c>
      <c r="H90" s="2">
        <v>69166.12</v>
      </c>
      <c r="I90" s="2">
        <v>4612.6099999999997</v>
      </c>
      <c r="J90">
        <v>34</v>
      </c>
      <c r="K90">
        <v>3</v>
      </c>
      <c r="L90">
        <v>5</v>
      </c>
      <c r="M90">
        <v>2</v>
      </c>
      <c r="N90">
        <v>7</v>
      </c>
      <c r="O90" s="2">
        <v>18221.759999999998</v>
      </c>
      <c r="P90" s="2">
        <v>100.79</v>
      </c>
      <c r="Q90" s="2">
        <v>112.42</v>
      </c>
    </row>
    <row r="91" spans="1:17" x14ac:dyDescent="0.45">
      <c r="A91" s="1">
        <v>45139</v>
      </c>
      <c r="B91">
        <v>2023</v>
      </c>
      <c r="C91">
        <v>11</v>
      </c>
      <c r="D91" t="s">
        <v>24</v>
      </c>
      <c r="E91" s="2">
        <v>14462000</v>
      </c>
      <c r="F91" s="2">
        <v>1117900.5</v>
      </c>
      <c r="G91" s="2">
        <v>569424.80000000005</v>
      </c>
      <c r="H91" s="2">
        <v>430471.13</v>
      </c>
      <c r="I91" s="2">
        <v>76374.8</v>
      </c>
      <c r="J91">
        <v>79</v>
      </c>
      <c r="K91">
        <v>7</v>
      </c>
      <c r="L91">
        <v>116</v>
      </c>
      <c r="M91">
        <v>3</v>
      </c>
      <c r="N91">
        <v>19</v>
      </c>
      <c r="O91" s="2">
        <v>84910.080000000002</v>
      </c>
      <c r="P91" s="2">
        <v>97.07</v>
      </c>
      <c r="Q91" s="2">
        <v>109.76</v>
      </c>
    </row>
    <row r="92" spans="1:17" x14ac:dyDescent="0.45">
      <c r="A92" s="1">
        <v>45839</v>
      </c>
      <c r="B92">
        <v>2025</v>
      </c>
      <c r="C92">
        <v>10</v>
      </c>
      <c r="D92" t="s">
        <v>22</v>
      </c>
      <c r="E92" s="2">
        <v>7115000</v>
      </c>
      <c r="F92" s="2">
        <v>532852.47</v>
      </c>
      <c r="G92" s="2">
        <v>297125.38</v>
      </c>
      <c r="H92" s="2">
        <v>219534.67</v>
      </c>
      <c r="I92" s="2">
        <v>20865.009999999998</v>
      </c>
      <c r="J92">
        <v>31</v>
      </c>
      <c r="K92">
        <v>1</v>
      </c>
      <c r="L92">
        <v>45</v>
      </c>
      <c r="M92">
        <v>2</v>
      </c>
      <c r="N92">
        <v>19</v>
      </c>
      <c r="O92" s="2">
        <v>38385.82</v>
      </c>
      <c r="P92" s="2">
        <v>115.87</v>
      </c>
      <c r="Q92" s="2">
        <v>118.44</v>
      </c>
    </row>
    <row r="93" spans="1:17" x14ac:dyDescent="0.45">
      <c r="A93" s="1">
        <v>44287</v>
      </c>
      <c r="B93">
        <v>2021</v>
      </c>
      <c r="C93">
        <v>7</v>
      </c>
      <c r="D93" t="s">
        <v>21</v>
      </c>
      <c r="E93" s="2">
        <v>8000000</v>
      </c>
      <c r="F93" s="2">
        <v>604580.13</v>
      </c>
      <c r="G93" s="2">
        <v>426913.76</v>
      </c>
      <c r="H93" s="2">
        <v>174715.43</v>
      </c>
      <c r="I93" s="2">
        <v>19190.36</v>
      </c>
      <c r="J93">
        <v>63</v>
      </c>
      <c r="K93">
        <v>5</v>
      </c>
      <c r="L93">
        <v>132</v>
      </c>
      <c r="M93">
        <v>2</v>
      </c>
      <c r="N93">
        <v>16</v>
      </c>
      <c r="O93" s="2">
        <v>48815.06</v>
      </c>
      <c r="P93" s="2">
        <v>103.28</v>
      </c>
      <c r="Q93" s="2">
        <v>101.14</v>
      </c>
    </row>
    <row r="94" spans="1:17" x14ac:dyDescent="0.45">
      <c r="A94" s="1">
        <v>44501</v>
      </c>
      <c r="B94">
        <v>2022</v>
      </c>
      <c r="C94">
        <v>2</v>
      </c>
      <c r="D94" t="s">
        <v>24</v>
      </c>
      <c r="E94" s="2">
        <v>13972000</v>
      </c>
      <c r="F94" s="2">
        <v>1228083.67</v>
      </c>
      <c r="G94" s="2">
        <v>533828.16</v>
      </c>
      <c r="H94" s="2">
        <v>602793.23</v>
      </c>
      <c r="I94" s="2">
        <v>79825.899999999994</v>
      </c>
      <c r="J94">
        <v>77</v>
      </c>
      <c r="K94">
        <v>4</v>
      </c>
      <c r="L94">
        <v>158</v>
      </c>
      <c r="M94">
        <v>6</v>
      </c>
      <c r="N94">
        <v>25</v>
      </c>
      <c r="O94" s="2">
        <v>170000.18</v>
      </c>
      <c r="P94" s="2">
        <v>108.49</v>
      </c>
      <c r="Q94" s="2">
        <v>103.31</v>
      </c>
    </row>
    <row r="95" spans="1:17" x14ac:dyDescent="0.45">
      <c r="A95" s="1">
        <v>45748</v>
      </c>
      <c r="B95">
        <v>2025</v>
      </c>
      <c r="C95">
        <v>7</v>
      </c>
      <c r="D95" t="s">
        <v>21</v>
      </c>
      <c r="E95" s="2">
        <v>9180000</v>
      </c>
      <c r="F95" s="2">
        <v>739322.34</v>
      </c>
      <c r="G95" s="2">
        <v>509713.65</v>
      </c>
      <c r="H95" s="2">
        <v>235116.87</v>
      </c>
      <c r="I95" s="2">
        <v>11591.39</v>
      </c>
      <c r="J95">
        <v>67</v>
      </c>
      <c r="K95">
        <v>8</v>
      </c>
      <c r="L95">
        <v>44</v>
      </c>
      <c r="M95">
        <v>5</v>
      </c>
      <c r="N95">
        <v>19</v>
      </c>
      <c r="O95" s="2">
        <v>132533.22</v>
      </c>
      <c r="P95" s="2">
        <v>115.83</v>
      </c>
      <c r="Q95" s="2">
        <v>115.67</v>
      </c>
    </row>
    <row r="96" spans="1:17" x14ac:dyDescent="0.45">
      <c r="A96" s="1">
        <v>44958</v>
      </c>
      <c r="B96">
        <v>2023</v>
      </c>
      <c r="C96">
        <v>5</v>
      </c>
      <c r="D96" t="s">
        <v>25</v>
      </c>
      <c r="E96" s="2">
        <v>4499000</v>
      </c>
      <c r="F96" s="2">
        <v>380360.16</v>
      </c>
      <c r="G96" s="2">
        <v>307264.3</v>
      </c>
      <c r="H96" s="2">
        <v>65069.43</v>
      </c>
      <c r="I96" s="2">
        <v>9768.09</v>
      </c>
      <c r="J96">
        <v>32</v>
      </c>
      <c r="K96">
        <v>1</v>
      </c>
      <c r="L96">
        <v>53</v>
      </c>
      <c r="M96">
        <v>1</v>
      </c>
      <c r="N96">
        <v>7</v>
      </c>
      <c r="O96" s="2">
        <v>11338.87</v>
      </c>
      <c r="P96" s="2">
        <v>106.39</v>
      </c>
      <c r="Q96" s="2">
        <v>108.35</v>
      </c>
    </row>
    <row r="97" spans="1:17" x14ac:dyDescent="0.45">
      <c r="A97" s="1">
        <v>45413</v>
      </c>
      <c r="B97">
        <v>2024</v>
      </c>
      <c r="C97">
        <v>8</v>
      </c>
      <c r="D97" t="s">
        <v>17</v>
      </c>
      <c r="E97" s="2">
        <v>8094000</v>
      </c>
      <c r="F97" s="2">
        <v>680970.66</v>
      </c>
      <c r="G97" s="2">
        <v>383197.6</v>
      </c>
      <c r="H97" s="2">
        <v>302605.31</v>
      </c>
      <c r="I97" s="2">
        <v>12170.57</v>
      </c>
      <c r="J97">
        <v>45</v>
      </c>
      <c r="K97">
        <v>2</v>
      </c>
      <c r="L97">
        <v>101</v>
      </c>
      <c r="M97">
        <v>3</v>
      </c>
      <c r="N97">
        <v>12</v>
      </c>
      <c r="O97" s="2">
        <v>68996.740000000005</v>
      </c>
      <c r="P97" s="2">
        <v>102.49</v>
      </c>
      <c r="Q97" s="2">
        <v>112.27</v>
      </c>
    </row>
    <row r="98" spans="1:17" x14ac:dyDescent="0.45">
      <c r="A98" s="1">
        <v>45078</v>
      </c>
      <c r="B98">
        <v>2023</v>
      </c>
      <c r="C98">
        <v>9</v>
      </c>
      <c r="D98" t="s">
        <v>25</v>
      </c>
      <c r="E98" s="2">
        <v>4499000</v>
      </c>
      <c r="F98" s="2">
        <v>381899.89</v>
      </c>
      <c r="G98" s="2">
        <v>311671.44</v>
      </c>
      <c r="H98" s="2">
        <v>59432.25</v>
      </c>
      <c r="I98" s="2">
        <v>11136.41</v>
      </c>
      <c r="J98">
        <v>33</v>
      </c>
      <c r="K98">
        <v>5</v>
      </c>
      <c r="L98">
        <v>46</v>
      </c>
      <c r="M98">
        <v>0</v>
      </c>
      <c r="N98">
        <v>7</v>
      </c>
      <c r="O98" s="2">
        <v>5459.57</v>
      </c>
      <c r="P98" s="2">
        <v>99.23</v>
      </c>
      <c r="Q98" s="2">
        <v>108.74</v>
      </c>
    </row>
    <row r="99" spans="1:17" x14ac:dyDescent="0.45">
      <c r="A99" s="1">
        <v>44774</v>
      </c>
      <c r="B99">
        <v>2022</v>
      </c>
      <c r="C99">
        <v>11</v>
      </c>
      <c r="D99" t="s">
        <v>27</v>
      </c>
      <c r="E99" s="2">
        <v>25875000</v>
      </c>
      <c r="F99" s="2">
        <v>2271392.96</v>
      </c>
      <c r="G99" s="2">
        <v>1739057.06</v>
      </c>
      <c r="H99" s="2">
        <v>430483.52</v>
      </c>
      <c r="I99" s="2">
        <v>83622.31</v>
      </c>
      <c r="J99">
        <v>210</v>
      </c>
      <c r="K99">
        <v>19</v>
      </c>
      <c r="L99">
        <v>789</v>
      </c>
      <c r="M99">
        <v>10</v>
      </c>
      <c r="N99">
        <v>36</v>
      </c>
      <c r="O99" s="2">
        <v>795474.04</v>
      </c>
      <c r="P99" s="2">
        <v>109.24</v>
      </c>
      <c r="Q99" s="2">
        <v>105.62</v>
      </c>
    </row>
    <row r="100" spans="1:17" x14ac:dyDescent="0.45">
      <c r="A100" s="1">
        <v>45383</v>
      </c>
      <c r="B100">
        <v>2024</v>
      </c>
      <c r="C100">
        <v>7</v>
      </c>
      <c r="D100" t="s">
        <v>24</v>
      </c>
      <c r="E100" s="2">
        <v>14968000</v>
      </c>
      <c r="F100" s="2">
        <v>1193847.29</v>
      </c>
      <c r="G100" s="2">
        <v>600494.96</v>
      </c>
      <c r="H100" s="2">
        <v>544289.57999999996</v>
      </c>
      <c r="I100" s="2">
        <v>67926.720000000001</v>
      </c>
      <c r="J100">
        <v>79</v>
      </c>
      <c r="K100">
        <v>8</v>
      </c>
      <c r="L100">
        <v>190</v>
      </c>
      <c r="M100">
        <v>5</v>
      </c>
      <c r="N100">
        <v>30</v>
      </c>
      <c r="O100" s="2">
        <v>171934.5</v>
      </c>
      <c r="P100" s="2">
        <v>101.78</v>
      </c>
      <c r="Q100" s="2">
        <v>112.63</v>
      </c>
    </row>
    <row r="101" spans="1:17" x14ac:dyDescent="0.45">
      <c r="A101" s="1">
        <v>45689</v>
      </c>
      <c r="B101">
        <v>2025</v>
      </c>
      <c r="C101">
        <v>5</v>
      </c>
      <c r="D101" t="s">
        <v>21</v>
      </c>
      <c r="E101" s="2">
        <v>9180000</v>
      </c>
      <c r="F101" s="2">
        <v>674016.34</v>
      </c>
      <c r="G101" s="2">
        <v>473369.69</v>
      </c>
      <c r="H101" s="2">
        <v>202441.06</v>
      </c>
      <c r="I101" s="2">
        <v>15184.3</v>
      </c>
      <c r="J101">
        <v>65</v>
      </c>
      <c r="K101">
        <v>2</v>
      </c>
      <c r="L101">
        <v>75</v>
      </c>
      <c r="M101">
        <v>1</v>
      </c>
      <c r="N101">
        <v>14</v>
      </c>
      <c r="O101" s="2">
        <v>35896.36</v>
      </c>
      <c r="P101" s="2">
        <v>110.12</v>
      </c>
      <c r="Q101" s="2">
        <v>115.59</v>
      </c>
    </row>
    <row r="102" spans="1:17" x14ac:dyDescent="0.45">
      <c r="A102" s="1">
        <v>45839</v>
      </c>
      <c r="B102">
        <v>2025</v>
      </c>
      <c r="C102">
        <v>10</v>
      </c>
      <c r="D102" t="s">
        <v>17</v>
      </c>
      <c r="E102" s="2">
        <v>8377000</v>
      </c>
      <c r="F102" s="2">
        <v>714522.27</v>
      </c>
      <c r="G102" s="2">
        <v>391701.08</v>
      </c>
      <c r="H102" s="2">
        <v>256959.89</v>
      </c>
      <c r="I102" s="2">
        <v>41311.99</v>
      </c>
      <c r="J102">
        <v>44</v>
      </c>
      <c r="K102">
        <v>6</v>
      </c>
      <c r="L102">
        <v>98</v>
      </c>
      <c r="M102">
        <v>4</v>
      </c>
      <c r="N102">
        <v>16</v>
      </c>
      <c r="O102" s="2">
        <v>84826.63</v>
      </c>
      <c r="P102" s="2">
        <v>116.27</v>
      </c>
      <c r="Q102" s="2">
        <v>117.31</v>
      </c>
    </row>
    <row r="103" spans="1:17" x14ac:dyDescent="0.45">
      <c r="A103" s="1">
        <v>45992</v>
      </c>
      <c r="B103">
        <v>2026</v>
      </c>
      <c r="C103">
        <v>3</v>
      </c>
      <c r="D103" t="s">
        <v>18</v>
      </c>
      <c r="E103" s="2">
        <v>4157000</v>
      </c>
      <c r="F103" s="2">
        <v>378437.44</v>
      </c>
      <c r="G103" s="2">
        <v>316632.7</v>
      </c>
      <c r="H103" s="2">
        <v>56631</v>
      </c>
      <c r="I103" s="2">
        <v>6097.09</v>
      </c>
      <c r="J103">
        <v>29</v>
      </c>
      <c r="K103">
        <v>4</v>
      </c>
      <c r="L103">
        <v>40</v>
      </c>
      <c r="M103">
        <v>2</v>
      </c>
      <c r="N103">
        <v>15</v>
      </c>
      <c r="O103" s="2">
        <v>20354.080000000002</v>
      </c>
      <c r="P103" s="2">
        <v>118.41</v>
      </c>
      <c r="Q103" s="2">
        <v>118.53</v>
      </c>
    </row>
    <row r="104" spans="1:17" x14ac:dyDescent="0.45">
      <c r="A104" s="1">
        <v>45383</v>
      </c>
      <c r="B104">
        <v>2024</v>
      </c>
      <c r="C104">
        <v>7</v>
      </c>
      <c r="D104" t="s">
        <v>28</v>
      </c>
      <c r="E104" s="2">
        <v>24392000</v>
      </c>
      <c r="F104" s="2">
        <v>2178709.23</v>
      </c>
      <c r="G104" s="2">
        <v>1683371.93</v>
      </c>
      <c r="H104" s="2">
        <v>391953.06</v>
      </c>
      <c r="I104" s="2">
        <v>28077.119999999999</v>
      </c>
      <c r="J104">
        <v>174</v>
      </c>
      <c r="K104">
        <v>12</v>
      </c>
      <c r="L104">
        <v>750</v>
      </c>
      <c r="M104">
        <v>10</v>
      </c>
      <c r="N104">
        <v>32</v>
      </c>
      <c r="O104" s="2">
        <v>613015.22</v>
      </c>
      <c r="P104" s="2">
        <v>101.96</v>
      </c>
      <c r="Q104" s="2">
        <v>111.22</v>
      </c>
    </row>
    <row r="105" spans="1:17" x14ac:dyDescent="0.45">
      <c r="A105" s="1">
        <v>44409</v>
      </c>
      <c r="B105">
        <v>2021</v>
      </c>
      <c r="C105">
        <v>11</v>
      </c>
      <c r="D105" t="s">
        <v>17</v>
      </c>
      <c r="E105" s="2">
        <v>7300000</v>
      </c>
      <c r="F105" s="2">
        <v>557727.26</v>
      </c>
      <c r="G105" s="2">
        <v>320224.8</v>
      </c>
      <c r="H105" s="2">
        <v>249660.14</v>
      </c>
      <c r="I105" s="2">
        <v>29605.84</v>
      </c>
      <c r="J105">
        <v>43</v>
      </c>
      <c r="K105">
        <v>6</v>
      </c>
      <c r="L105">
        <v>31</v>
      </c>
      <c r="M105">
        <v>3</v>
      </c>
      <c r="N105">
        <v>17</v>
      </c>
      <c r="O105" s="2">
        <v>60161.53</v>
      </c>
      <c r="P105" s="2">
        <v>108.85</v>
      </c>
      <c r="Q105" s="2">
        <v>102.39</v>
      </c>
    </row>
    <row r="106" spans="1:17" x14ac:dyDescent="0.45">
      <c r="A106" s="1">
        <v>44562</v>
      </c>
      <c r="B106">
        <v>2022</v>
      </c>
      <c r="C106">
        <v>4</v>
      </c>
      <c r="D106" t="s">
        <v>24</v>
      </c>
      <c r="E106" s="2">
        <v>13972000</v>
      </c>
      <c r="F106" s="2">
        <v>1298905.8</v>
      </c>
      <c r="G106" s="2">
        <v>567753.78</v>
      </c>
      <c r="H106" s="2">
        <v>518872.44</v>
      </c>
      <c r="I106" s="2">
        <v>220884.73</v>
      </c>
      <c r="J106">
        <v>81</v>
      </c>
      <c r="K106">
        <v>10</v>
      </c>
      <c r="L106">
        <v>73</v>
      </c>
      <c r="M106">
        <v>4</v>
      </c>
      <c r="N106">
        <v>25</v>
      </c>
      <c r="O106" s="2">
        <v>117263.54</v>
      </c>
      <c r="P106" s="2">
        <v>108.96</v>
      </c>
      <c r="Q106" s="2">
        <v>104.17</v>
      </c>
    </row>
    <row r="107" spans="1:17" x14ac:dyDescent="0.45">
      <c r="A107" s="1">
        <v>44197</v>
      </c>
      <c r="B107">
        <v>2021</v>
      </c>
      <c r="C107">
        <v>4</v>
      </c>
      <c r="D107" t="s">
        <v>18</v>
      </c>
      <c r="E107" s="2">
        <v>3500000</v>
      </c>
      <c r="F107" s="2">
        <v>287214.95</v>
      </c>
      <c r="G107" s="2">
        <v>248582.12</v>
      </c>
      <c r="H107" s="2">
        <v>35227.26</v>
      </c>
      <c r="I107" s="2">
        <v>3823.2</v>
      </c>
      <c r="J107">
        <v>27</v>
      </c>
      <c r="K107">
        <v>2</v>
      </c>
      <c r="L107">
        <v>35</v>
      </c>
      <c r="M107">
        <v>2</v>
      </c>
      <c r="N107">
        <v>15</v>
      </c>
      <c r="O107" s="2">
        <v>26441.96</v>
      </c>
      <c r="P107" s="2">
        <v>99.32</v>
      </c>
      <c r="Q107" s="2">
        <v>100.29</v>
      </c>
    </row>
    <row r="108" spans="1:17" x14ac:dyDescent="0.45">
      <c r="A108" s="1">
        <v>45597</v>
      </c>
      <c r="B108">
        <v>2025</v>
      </c>
      <c r="C108">
        <v>2</v>
      </c>
      <c r="D108" t="s">
        <v>21</v>
      </c>
      <c r="E108" s="2">
        <v>9180000</v>
      </c>
      <c r="F108" s="2">
        <v>789450.65</v>
      </c>
      <c r="G108" s="2">
        <v>507557.34</v>
      </c>
      <c r="H108" s="2">
        <v>276834.21000000002</v>
      </c>
      <c r="I108" s="2">
        <v>38050.800000000003</v>
      </c>
      <c r="J108">
        <v>65</v>
      </c>
      <c r="K108">
        <v>3</v>
      </c>
      <c r="L108">
        <v>81</v>
      </c>
      <c r="M108">
        <v>4</v>
      </c>
      <c r="N108">
        <v>15</v>
      </c>
      <c r="O108" s="2">
        <v>92032.03</v>
      </c>
      <c r="P108" s="2">
        <v>107.73</v>
      </c>
      <c r="Q108" s="2">
        <v>114.35</v>
      </c>
    </row>
    <row r="109" spans="1:17" x14ac:dyDescent="0.45">
      <c r="A109" s="1">
        <v>45383</v>
      </c>
      <c r="B109">
        <v>2024</v>
      </c>
      <c r="C109">
        <v>7</v>
      </c>
      <c r="D109" t="s">
        <v>22</v>
      </c>
      <c r="E109" s="2">
        <v>6874000</v>
      </c>
      <c r="F109" s="2">
        <v>692071.09</v>
      </c>
      <c r="G109" s="2">
        <v>289341.68</v>
      </c>
      <c r="H109" s="2">
        <v>244974.69</v>
      </c>
      <c r="I109" s="2">
        <v>160553.43</v>
      </c>
      <c r="J109">
        <v>31</v>
      </c>
      <c r="K109">
        <v>2</v>
      </c>
      <c r="L109">
        <v>81</v>
      </c>
      <c r="M109">
        <v>3</v>
      </c>
      <c r="N109">
        <v>13</v>
      </c>
      <c r="O109" s="2">
        <v>46251.81</v>
      </c>
      <c r="P109" s="2">
        <v>100.85</v>
      </c>
      <c r="Q109" s="2">
        <v>111.86</v>
      </c>
    </row>
    <row r="110" spans="1:17" x14ac:dyDescent="0.45">
      <c r="A110" s="1">
        <v>45505</v>
      </c>
      <c r="B110">
        <v>2024</v>
      </c>
      <c r="C110">
        <v>11</v>
      </c>
      <c r="D110" t="s">
        <v>18</v>
      </c>
      <c r="E110" s="2">
        <v>3881000</v>
      </c>
      <c r="F110" s="2">
        <v>349444.47</v>
      </c>
      <c r="G110" s="2">
        <v>299013.23</v>
      </c>
      <c r="H110" s="2">
        <v>44665.24</v>
      </c>
      <c r="I110" s="2">
        <v>4281.7700000000004</v>
      </c>
      <c r="J110">
        <v>29</v>
      </c>
      <c r="K110">
        <v>0</v>
      </c>
      <c r="L110">
        <v>0</v>
      </c>
      <c r="M110">
        <v>0</v>
      </c>
      <c r="N110">
        <v>7</v>
      </c>
      <c r="O110" s="2">
        <v>4847.9799999999996</v>
      </c>
      <c r="P110" s="2">
        <v>104.67</v>
      </c>
      <c r="Q110" s="2">
        <v>113.87</v>
      </c>
    </row>
    <row r="111" spans="1:17" x14ac:dyDescent="0.45">
      <c r="A111" s="1">
        <v>44197</v>
      </c>
      <c r="B111">
        <v>2021</v>
      </c>
      <c r="C111">
        <v>4</v>
      </c>
      <c r="D111" t="s">
        <v>17</v>
      </c>
      <c r="E111" s="2">
        <v>7300000</v>
      </c>
      <c r="F111" s="2">
        <v>581909.26</v>
      </c>
      <c r="G111" s="2">
        <v>317339.01</v>
      </c>
      <c r="H111" s="2">
        <v>226796.91</v>
      </c>
      <c r="I111" s="2">
        <v>18783.810000000001</v>
      </c>
      <c r="J111">
        <v>44</v>
      </c>
      <c r="K111">
        <v>4</v>
      </c>
      <c r="L111">
        <v>63</v>
      </c>
      <c r="M111">
        <v>2</v>
      </c>
      <c r="N111">
        <v>15</v>
      </c>
      <c r="O111" s="2">
        <v>50278.87</v>
      </c>
      <c r="P111" s="2">
        <v>100.24</v>
      </c>
      <c r="Q111" s="2">
        <v>100.22</v>
      </c>
    </row>
    <row r="112" spans="1:17" x14ac:dyDescent="0.45">
      <c r="A112" s="1">
        <v>45597</v>
      </c>
      <c r="B112">
        <v>2025</v>
      </c>
      <c r="C112">
        <v>2</v>
      </c>
      <c r="D112" t="s">
        <v>17</v>
      </c>
      <c r="E112" s="2">
        <v>8377000</v>
      </c>
      <c r="F112" s="2">
        <v>740188.03</v>
      </c>
      <c r="G112" s="2">
        <v>356231.81</v>
      </c>
      <c r="H112" s="2">
        <v>318148.21999999997</v>
      </c>
      <c r="I112" s="2">
        <v>48332.35</v>
      </c>
      <c r="J112">
        <v>44</v>
      </c>
      <c r="K112">
        <v>7</v>
      </c>
      <c r="L112">
        <v>71</v>
      </c>
      <c r="M112">
        <v>2</v>
      </c>
      <c r="N112">
        <v>19</v>
      </c>
      <c r="O112" s="2">
        <v>40453.65</v>
      </c>
      <c r="P112" s="2">
        <v>105.05</v>
      </c>
      <c r="Q112" s="2">
        <v>114.43</v>
      </c>
    </row>
    <row r="113" spans="1:17" x14ac:dyDescent="0.45">
      <c r="A113" s="1">
        <v>44713</v>
      </c>
      <c r="B113">
        <v>2022</v>
      </c>
      <c r="C113">
        <v>9</v>
      </c>
      <c r="D113" t="s">
        <v>28</v>
      </c>
      <c r="E113" s="2">
        <v>22770000</v>
      </c>
      <c r="F113" s="2">
        <v>2258921.2999999998</v>
      </c>
      <c r="G113" s="2">
        <v>1689640.19</v>
      </c>
      <c r="H113" s="2">
        <v>450490.27</v>
      </c>
      <c r="I113" s="2">
        <v>57159.7</v>
      </c>
      <c r="J113">
        <v>184</v>
      </c>
      <c r="K113">
        <v>12</v>
      </c>
      <c r="L113">
        <v>1027</v>
      </c>
      <c r="M113">
        <v>7</v>
      </c>
      <c r="N113">
        <v>26</v>
      </c>
      <c r="O113" s="2">
        <v>316157.09999999998</v>
      </c>
      <c r="P113" s="2">
        <v>112.5</v>
      </c>
      <c r="Q113" s="2">
        <v>104.81</v>
      </c>
    </row>
    <row r="114" spans="1:17" x14ac:dyDescent="0.45">
      <c r="A114" s="1">
        <v>45444</v>
      </c>
      <c r="B114">
        <v>2024</v>
      </c>
      <c r="C114">
        <v>9</v>
      </c>
      <c r="D114" t="s">
        <v>24</v>
      </c>
      <c r="E114" s="2">
        <v>14968000</v>
      </c>
      <c r="F114" s="2">
        <v>1173421.47</v>
      </c>
      <c r="G114" s="2">
        <v>565260.99</v>
      </c>
      <c r="H114" s="2">
        <v>572237.16</v>
      </c>
      <c r="I114" s="2">
        <v>89299.56</v>
      </c>
      <c r="J114">
        <v>76</v>
      </c>
      <c r="K114">
        <v>1</v>
      </c>
      <c r="L114">
        <v>34</v>
      </c>
      <c r="M114">
        <v>5</v>
      </c>
      <c r="N114">
        <v>25</v>
      </c>
      <c r="O114" s="2">
        <v>206314.85</v>
      </c>
      <c r="P114" s="2">
        <v>103.2</v>
      </c>
      <c r="Q114" s="2">
        <v>114.09</v>
      </c>
    </row>
    <row r="115" spans="1:17" x14ac:dyDescent="0.45">
      <c r="A115" s="1">
        <v>45078</v>
      </c>
      <c r="B115">
        <v>2023</v>
      </c>
      <c r="C115">
        <v>9</v>
      </c>
      <c r="D115" t="s">
        <v>19</v>
      </c>
      <c r="E115" s="2">
        <v>5142000</v>
      </c>
      <c r="F115" s="2">
        <v>424411.39</v>
      </c>
      <c r="G115" s="2">
        <v>352026.47</v>
      </c>
      <c r="H115" s="2">
        <v>66941.88</v>
      </c>
      <c r="I115" s="2">
        <v>10973.74</v>
      </c>
      <c r="J115">
        <v>35</v>
      </c>
      <c r="K115">
        <v>4</v>
      </c>
      <c r="L115">
        <v>45</v>
      </c>
      <c r="M115">
        <v>1</v>
      </c>
      <c r="N115">
        <v>12</v>
      </c>
      <c r="O115" s="2">
        <v>24260.74</v>
      </c>
      <c r="P115" s="2">
        <v>101.27</v>
      </c>
      <c r="Q115" s="2">
        <v>109.08</v>
      </c>
    </row>
    <row r="116" spans="1:17" x14ac:dyDescent="0.45">
      <c r="A116" s="1">
        <v>44256</v>
      </c>
      <c r="B116">
        <v>2021</v>
      </c>
      <c r="C116">
        <v>6</v>
      </c>
      <c r="D116" t="s">
        <v>23</v>
      </c>
      <c r="E116" s="2">
        <v>19000000</v>
      </c>
      <c r="F116" s="2">
        <v>1429995.7</v>
      </c>
      <c r="G116" s="2">
        <v>742473.75</v>
      </c>
      <c r="H116" s="2">
        <v>620387.96</v>
      </c>
      <c r="I116" s="2">
        <v>79391.56</v>
      </c>
      <c r="J116">
        <v>96</v>
      </c>
      <c r="K116">
        <v>8</v>
      </c>
      <c r="L116">
        <v>381</v>
      </c>
      <c r="M116">
        <v>7</v>
      </c>
      <c r="N116">
        <v>32</v>
      </c>
      <c r="O116" s="2">
        <v>328704.38</v>
      </c>
      <c r="P116" s="2">
        <v>101.91</v>
      </c>
      <c r="Q116" s="2">
        <v>100.65</v>
      </c>
    </row>
    <row r="117" spans="1:17" x14ac:dyDescent="0.45">
      <c r="A117" s="1">
        <v>44896</v>
      </c>
      <c r="B117">
        <v>2023</v>
      </c>
      <c r="C117">
        <v>3</v>
      </c>
      <c r="D117" t="s">
        <v>28</v>
      </c>
      <c r="E117" s="2">
        <v>23567000</v>
      </c>
      <c r="F117" s="2">
        <v>2088200.97</v>
      </c>
      <c r="G117" s="2">
        <v>1605372.83</v>
      </c>
      <c r="H117" s="2">
        <v>387861.95</v>
      </c>
      <c r="I117" s="2">
        <v>33540.86</v>
      </c>
      <c r="J117">
        <v>179</v>
      </c>
      <c r="K117">
        <v>13</v>
      </c>
      <c r="L117">
        <v>991</v>
      </c>
      <c r="M117">
        <v>10</v>
      </c>
      <c r="N117">
        <v>35</v>
      </c>
      <c r="O117" s="2">
        <v>705796.01</v>
      </c>
      <c r="P117" s="2">
        <v>108.22</v>
      </c>
      <c r="Q117" s="2">
        <v>107.09</v>
      </c>
    </row>
    <row r="118" spans="1:17" x14ac:dyDescent="0.45">
      <c r="A118" s="1">
        <v>45444</v>
      </c>
      <c r="B118">
        <v>2024</v>
      </c>
      <c r="C118">
        <v>9</v>
      </c>
      <c r="D118" t="s">
        <v>25</v>
      </c>
      <c r="E118" s="2">
        <v>4657000</v>
      </c>
      <c r="F118" s="2">
        <v>403897.55</v>
      </c>
      <c r="G118" s="2">
        <v>333373.32</v>
      </c>
      <c r="H118" s="2">
        <v>60506.48</v>
      </c>
      <c r="I118" s="2">
        <v>7860.53</v>
      </c>
      <c r="J118">
        <v>34</v>
      </c>
      <c r="K118">
        <v>0</v>
      </c>
      <c r="L118">
        <v>52</v>
      </c>
      <c r="M118">
        <v>0</v>
      </c>
      <c r="N118">
        <v>10</v>
      </c>
      <c r="O118" s="2">
        <v>6226.79</v>
      </c>
      <c r="P118" s="2">
        <v>105.32</v>
      </c>
      <c r="Q118" s="2">
        <v>113.23</v>
      </c>
    </row>
    <row r="119" spans="1:17" x14ac:dyDescent="0.45">
      <c r="A119" s="1">
        <v>44531</v>
      </c>
      <c r="B119">
        <v>2022</v>
      </c>
      <c r="C119">
        <v>3</v>
      </c>
      <c r="D119" t="s">
        <v>28</v>
      </c>
      <c r="E119" s="2">
        <v>22770000</v>
      </c>
      <c r="F119" s="2">
        <v>1977464.54</v>
      </c>
      <c r="G119" s="2">
        <v>1583271.25</v>
      </c>
      <c r="H119" s="2">
        <v>394510.47</v>
      </c>
      <c r="I119" s="2">
        <v>44524.95</v>
      </c>
      <c r="J119">
        <v>173</v>
      </c>
      <c r="K119">
        <v>10</v>
      </c>
      <c r="L119">
        <v>771</v>
      </c>
      <c r="M119">
        <v>10</v>
      </c>
      <c r="N119">
        <v>35</v>
      </c>
      <c r="O119" s="2">
        <v>631402.48</v>
      </c>
      <c r="P119" s="2">
        <v>114.46</v>
      </c>
      <c r="Q119" s="2">
        <v>102.79</v>
      </c>
    </row>
    <row r="120" spans="1:17" x14ac:dyDescent="0.45">
      <c r="A120" s="1">
        <v>44378</v>
      </c>
      <c r="B120">
        <v>2021</v>
      </c>
      <c r="C120">
        <v>10</v>
      </c>
      <c r="D120" t="s">
        <v>28</v>
      </c>
      <c r="E120" s="2">
        <v>22000000</v>
      </c>
      <c r="F120" s="2">
        <v>1885283.64</v>
      </c>
      <c r="G120" s="2">
        <v>1475419.83</v>
      </c>
      <c r="H120" s="2">
        <v>357687.68</v>
      </c>
      <c r="I120" s="2">
        <v>17229.11</v>
      </c>
      <c r="J120">
        <v>172</v>
      </c>
      <c r="K120">
        <v>11</v>
      </c>
      <c r="L120">
        <v>708</v>
      </c>
      <c r="M120">
        <v>8</v>
      </c>
      <c r="N120">
        <v>32</v>
      </c>
      <c r="O120" s="2">
        <v>515533.94</v>
      </c>
      <c r="P120" s="2">
        <v>109.76</v>
      </c>
      <c r="Q120" s="2">
        <v>100.95</v>
      </c>
    </row>
    <row r="121" spans="1:17" x14ac:dyDescent="0.45">
      <c r="A121" s="1">
        <v>44805</v>
      </c>
      <c r="B121">
        <v>2022</v>
      </c>
      <c r="C121">
        <v>12</v>
      </c>
      <c r="D121" t="s">
        <v>22</v>
      </c>
      <c r="E121" s="2">
        <v>6417000</v>
      </c>
      <c r="F121" s="2">
        <v>505655.93</v>
      </c>
      <c r="G121" s="2">
        <v>267958.17</v>
      </c>
      <c r="H121" s="2">
        <v>226564.53</v>
      </c>
      <c r="I121" s="2">
        <v>33044.28</v>
      </c>
      <c r="J121">
        <v>30</v>
      </c>
      <c r="K121">
        <v>1</v>
      </c>
      <c r="L121">
        <v>57</v>
      </c>
      <c r="M121">
        <v>1</v>
      </c>
      <c r="N121">
        <v>9</v>
      </c>
      <c r="O121" s="2">
        <v>26150.959999999999</v>
      </c>
      <c r="P121" s="2">
        <v>106.05</v>
      </c>
      <c r="Q121" s="2">
        <v>106.43</v>
      </c>
    </row>
    <row r="122" spans="1:17" x14ac:dyDescent="0.45">
      <c r="A122" s="1">
        <v>45658</v>
      </c>
      <c r="B122">
        <v>2025</v>
      </c>
      <c r="C122">
        <v>4</v>
      </c>
      <c r="D122" t="s">
        <v>18</v>
      </c>
      <c r="E122" s="2">
        <v>4016000</v>
      </c>
      <c r="F122" s="2">
        <v>355098.05</v>
      </c>
      <c r="G122" s="2">
        <v>314964.67</v>
      </c>
      <c r="H122" s="2">
        <v>39784.300000000003</v>
      </c>
      <c r="I122" s="2">
        <v>4711.4799999999996</v>
      </c>
      <c r="J122">
        <v>29</v>
      </c>
      <c r="K122">
        <v>2</v>
      </c>
      <c r="L122">
        <v>39</v>
      </c>
      <c r="M122">
        <v>4</v>
      </c>
      <c r="N122">
        <v>16</v>
      </c>
      <c r="O122" s="2">
        <v>28116.73</v>
      </c>
      <c r="P122" s="2">
        <v>109.23</v>
      </c>
      <c r="Q122" s="2">
        <v>115</v>
      </c>
    </row>
    <row r="123" spans="1:17" x14ac:dyDescent="0.45">
      <c r="A123" s="1">
        <v>44440</v>
      </c>
      <c r="B123">
        <v>2021</v>
      </c>
      <c r="C123">
        <v>12</v>
      </c>
      <c r="D123" t="s">
        <v>23</v>
      </c>
      <c r="E123" s="2">
        <v>19000000</v>
      </c>
      <c r="F123" s="2">
        <v>1468208.21</v>
      </c>
      <c r="G123" s="2">
        <v>700427.15</v>
      </c>
      <c r="H123" s="2">
        <v>725353.54</v>
      </c>
      <c r="I123" s="2">
        <v>108235.97</v>
      </c>
      <c r="J123">
        <v>95</v>
      </c>
      <c r="K123">
        <v>5</v>
      </c>
      <c r="L123">
        <v>421</v>
      </c>
      <c r="M123">
        <v>4</v>
      </c>
      <c r="N123">
        <v>26</v>
      </c>
      <c r="O123" s="2">
        <v>162083.43</v>
      </c>
      <c r="P123" s="2">
        <v>108.56</v>
      </c>
      <c r="Q123" s="2">
        <v>102.36</v>
      </c>
    </row>
    <row r="124" spans="1:17" x14ac:dyDescent="0.45">
      <c r="A124" s="1">
        <v>45017</v>
      </c>
      <c r="B124">
        <v>2023</v>
      </c>
      <c r="C124">
        <v>7</v>
      </c>
      <c r="D124" t="s">
        <v>27</v>
      </c>
      <c r="E124" s="2">
        <v>26781000</v>
      </c>
      <c r="F124" s="2">
        <v>2305820.86</v>
      </c>
      <c r="G124" s="2">
        <v>1721805.32</v>
      </c>
      <c r="H124" s="2">
        <v>481939.87</v>
      </c>
      <c r="I124" s="2">
        <v>43973.37</v>
      </c>
      <c r="J124">
        <v>208</v>
      </c>
      <c r="K124">
        <v>17</v>
      </c>
      <c r="L124">
        <v>618</v>
      </c>
      <c r="M124">
        <v>8</v>
      </c>
      <c r="N124">
        <v>37</v>
      </c>
      <c r="O124" s="2">
        <v>384090.29</v>
      </c>
      <c r="P124" s="2">
        <v>108.73</v>
      </c>
      <c r="Q124" s="2">
        <v>107.98</v>
      </c>
    </row>
    <row r="125" spans="1:17" x14ac:dyDescent="0.45">
      <c r="A125" s="1">
        <v>45200</v>
      </c>
      <c r="B125">
        <v>2024</v>
      </c>
      <c r="C125">
        <v>1</v>
      </c>
      <c r="D125" t="s">
        <v>21</v>
      </c>
      <c r="E125" s="2">
        <v>8870000</v>
      </c>
      <c r="F125" s="2">
        <v>744513.92</v>
      </c>
      <c r="G125" s="2">
        <v>479244.87</v>
      </c>
      <c r="H125" s="2">
        <v>236989.05</v>
      </c>
      <c r="I125" s="2">
        <v>23334.29</v>
      </c>
      <c r="J125">
        <v>65</v>
      </c>
      <c r="K125">
        <v>6</v>
      </c>
      <c r="L125">
        <v>58</v>
      </c>
      <c r="M125">
        <v>2</v>
      </c>
      <c r="N125">
        <v>23</v>
      </c>
      <c r="O125" s="2">
        <v>64495.47</v>
      </c>
      <c r="P125" s="2">
        <v>100.84</v>
      </c>
      <c r="Q125" s="2">
        <v>110.08</v>
      </c>
    </row>
    <row r="126" spans="1:17" x14ac:dyDescent="0.45">
      <c r="A126" s="1">
        <v>45627</v>
      </c>
      <c r="B126">
        <v>2025</v>
      </c>
      <c r="C126">
        <v>3</v>
      </c>
      <c r="D126" t="s">
        <v>27</v>
      </c>
      <c r="E126" s="2">
        <v>28688000</v>
      </c>
      <c r="F126" s="2">
        <v>2712226.29</v>
      </c>
      <c r="G126" s="2">
        <v>2020951.02</v>
      </c>
      <c r="H126" s="2">
        <v>554331.16</v>
      </c>
      <c r="I126" s="2">
        <v>77490.13</v>
      </c>
      <c r="J126">
        <v>216</v>
      </c>
      <c r="K126">
        <v>17</v>
      </c>
      <c r="L126">
        <v>1045</v>
      </c>
      <c r="M126">
        <v>10</v>
      </c>
      <c r="N126">
        <v>37</v>
      </c>
      <c r="O126" s="2">
        <v>658312.48</v>
      </c>
      <c r="P126" s="2">
        <v>105.45</v>
      </c>
      <c r="Q126" s="2">
        <v>114.65</v>
      </c>
    </row>
    <row r="127" spans="1:17" x14ac:dyDescent="0.45">
      <c r="A127" s="1">
        <v>44470</v>
      </c>
      <c r="B127">
        <v>2022</v>
      </c>
      <c r="C127">
        <v>1</v>
      </c>
      <c r="D127" t="s">
        <v>21</v>
      </c>
      <c r="E127" s="2">
        <v>8280000</v>
      </c>
      <c r="F127" s="2">
        <v>680985.86</v>
      </c>
      <c r="G127" s="2">
        <v>417408.54</v>
      </c>
      <c r="H127" s="2">
        <v>219139.6</v>
      </c>
      <c r="I127" s="2">
        <v>30505.23</v>
      </c>
      <c r="J127">
        <v>63</v>
      </c>
      <c r="K127">
        <v>4</v>
      </c>
      <c r="L127">
        <v>93</v>
      </c>
      <c r="M127">
        <v>1</v>
      </c>
      <c r="N127">
        <v>17</v>
      </c>
      <c r="O127" s="2">
        <v>33078.239999999998</v>
      </c>
      <c r="P127" s="2">
        <v>107.69</v>
      </c>
      <c r="Q127" s="2">
        <v>102.1</v>
      </c>
    </row>
    <row r="128" spans="1:17" x14ac:dyDescent="0.45">
      <c r="A128" s="1">
        <v>45413</v>
      </c>
      <c r="B128">
        <v>2024</v>
      </c>
      <c r="C128">
        <v>8</v>
      </c>
      <c r="D128" t="s">
        <v>24</v>
      </c>
      <c r="E128" s="2">
        <v>14968000</v>
      </c>
      <c r="F128" s="2">
        <v>1202250.23</v>
      </c>
      <c r="G128" s="2">
        <v>615242.77</v>
      </c>
      <c r="H128" s="2">
        <v>506147.93</v>
      </c>
      <c r="I128" s="2">
        <v>90722.94</v>
      </c>
      <c r="J128">
        <v>79</v>
      </c>
      <c r="K128">
        <v>3</v>
      </c>
      <c r="L128">
        <v>145</v>
      </c>
      <c r="M128">
        <v>6</v>
      </c>
      <c r="N128">
        <v>24</v>
      </c>
      <c r="O128" s="2">
        <v>245768.55</v>
      </c>
      <c r="P128" s="2">
        <v>101.52</v>
      </c>
      <c r="Q128" s="2">
        <v>111.69</v>
      </c>
    </row>
    <row r="129" spans="1:17" x14ac:dyDescent="0.45">
      <c r="A129" s="1">
        <v>45870</v>
      </c>
      <c r="B129">
        <v>2025</v>
      </c>
      <c r="C129">
        <v>11</v>
      </c>
      <c r="D129" t="s">
        <v>28</v>
      </c>
      <c r="E129" s="2">
        <v>25246000</v>
      </c>
      <c r="F129" s="2">
        <v>2074736.79</v>
      </c>
      <c r="G129" s="2">
        <v>1664118.93</v>
      </c>
      <c r="H129" s="2">
        <v>402437.03</v>
      </c>
      <c r="I129" s="2">
        <v>30605.63</v>
      </c>
      <c r="J129">
        <v>183</v>
      </c>
      <c r="K129">
        <v>11</v>
      </c>
      <c r="L129">
        <v>489</v>
      </c>
      <c r="M129">
        <v>7</v>
      </c>
      <c r="N129">
        <v>30</v>
      </c>
      <c r="O129" s="2">
        <v>403090.03</v>
      </c>
      <c r="P129" s="2">
        <v>121.77</v>
      </c>
      <c r="Q129" s="2">
        <v>117.03</v>
      </c>
    </row>
    <row r="130" spans="1:17" x14ac:dyDescent="0.45">
      <c r="A130" s="1">
        <v>44652</v>
      </c>
      <c r="B130">
        <v>2022</v>
      </c>
      <c r="C130">
        <v>7</v>
      </c>
      <c r="D130" t="s">
        <v>21</v>
      </c>
      <c r="E130" s="2">
        <v>8280000</v>
      </c>
      <c r="F130" s="2">
        <v>625950.81999999995</v>
      </c>
      <c r="G130" s="2">
        <v>429002.54</v>
      </c>
      <c r="H130" s="2">
        <v>197764.96</v>
      </c>
      <c r="I130" s="2">
        <v>11043.42</v>
      </c>
      <c r="J130">
        <v>64</v>
      </c>
      <c r="K130">
        <v>8</v>
      </c>
      <c r="L130">
        <v>104</v>
      </c>
      <c r="M130">
        <v>4</v>
      </c>
      <c r="N130">
        <v>13</v>
      </c>
      <c r="O130" s="2">
        <v>95755.1</v>
      </c>
      <c r="P130" s="2">
        <v>111.19</v>
      </c>
      <c r="Q130" s="2">
        <v>104.98</v>
      </c>
    </row>
    <row r="131" spans="1:17" x14ac:dyDescent="0.45">
      <c r="A131" s="1">
        <v>45597</v>
      </c>
      <c r="B131">
        <v>2025</v>
      </c>
      <c r="C131">
        <v>2</v>
      </c>
      <c r="D131" t="s">
        <v>23</v>
      </c>
      <c r="E131" s="2">
        <v>21803000</v>
      </c>
      <c r="F131" s="2">
        <v>1935405.68</v>
      </c>
      <c r="G131" s="2">
        <v>847066.32</v>
      </c>
      <c r="H131" s="2">
        <v>987557.19</v>
      </c>
      <c r="I131" s="2">
        <v>148611.56</v>
      </c>
      <c r="J131">
        <v>97</v>
      </c>
      <c r="K131">
        <v>7</v>
      </c>
      <c r="L131">
        <v>462</v>
      </c>
      <c r="M131">
        <v>4</v>
      </c>
      <c r="N131">
        <v>26</v>
      </c>
      <c r="O131" s="2">
        <v>219461</v>
      </c>
      <c r="P131" s="2">
        <v>107.42</v>
      </c>
      <c r="Q131" s="2">
        <v>114.56</v>
      </c>
    </row>
    <row r="132" spans="1:17" x14ac:dyDescent="0.45">
      <c r="A132" s="1">
        <v>45323</v>
      </c>
      <c r="B132">
        <v>2024</v>
      </c>
      <c r="C132">
        <v>5</v>
      </c>
      <c r="D132" t="s">
        <v>18</v>
      </c>
      <c r="E132" s="2">
        <v>3881000</v>
      </c>
      <c r="F132" s="2">
        <v>330690.15999999997</v>
      </c>
      <c r="G132" s="2">
        <v>283022.86</v>
      </c>
      <c r="H132" s="2">
        <v>43196.47</v>
      </c>
      <c r="I132" s="2">
        <v>3900.09</v>
      </c>
      <c r="J132">
        <v>28</v>
      </c>
      <c r="K132">
        <v>5</v>
      </c>
      <c r="L132">
        <v>16</v>
      </c>
      <c r="M132">
        <v>3</v>
      </c>
      <c r="N132">
        <v>11</v>
      </c>
      <c r="O132" s="2">
        <v>21946.95</v>
      </c>
      <c r="P132" s="2">
        <v>98.05</v>
      </c>
      <c r="Q132" s="2">
        <v>112.2</v>
      </c>
    </row>
    <row r="133" spans="1:17" x14ac:dyDescent="0.45">
      <c r="A133" s="1">
        <v>45717</v>
      </c>
      <c r="B133">
        <v>2025</v>
      </c>
      <c r="C133">
        <v>6</v>
      </c>
      <c r="D133" t="s">
        <v>21</v>
      </c>
      <c r="E133" s="2">
        <v>9180000</v>
      </c>
      <c r="F133" s="2">
        <v>718897.7</v>
      </c>
      <c r="G133" s="2">
        <v>491477.99</v>
      </c>
      <c r="H133" s="2">
        <v>215567.11</v>
      </c>
      <c r="I133" s="2">
        <v>21832.36</v>
      </c>
      <c r="J133">
        <v>66</v>
      </c>
      <c r="K133">
        <v>9</v>
      </c>
      <c r="L133">
        <v>49</v>
      </c>
      <c r="M133">
        <v>3</v>
      </c>
      <c r="N133">
        <v>17</v>
      </c>
      <c r="O133" s="2">
        <v>54243.67</v>
      </c>
      <c r="P133" s="2">
        <v>109.69</v>
      </c>
      <c r="Q133" s="2">
        <v>116.54</v>
      </c>
    </row>
    <row r="134" spans="1:17" x14ac:dyDescent="0.45">
      <c r="A134" s="1">
        <v>44621</v>
      </c>
      <c r="B134">
        <v>2022</v>
      </c>
      <c r="C134">
        <v>6</v>
      </c>
      <c r="D134" t="s">
        <v>28</v>
      </c>
      <c r="E134" s="2">
        <v>22770000</v>
      </c>
      <c r="F134" s="2">
        <v>2305847.94</v>
      </c>
      <c r="G134" s="2">
        <v>1650959.62</v>
      </c>
      <c r="H134" s="2">
        <v>417231.63</v>
      </c>
      <c r="I134" s="2">
        <v>241908.86</v>
      </c>
      <c r="J134">
        <v>184</v>
      </c>
      <c r="K134">
        <v>11</v>
      </c>
      <c r="L134">
        <v>812</v>
      </c>
      <c r="M134">
        <v>7</v>
      </c>
      <c r="N134">
        <v>33</v>
      </c>
      <c r="O134" s="2">
        <v>417296.23</v>
      </c>
      <c r="P134" s="2">
        <v>112.68</v>
      </c>
      <c r="Q134" s="2">
        <v>105.18</v>
      </c>
    </row>
    <row r="135" spans="1:17" x14ac:dyDescent="0.45">
      <c r="A135" s="1">
        <v>44593</v>
      </c>
      <c r="B135">
        <v>2022</v>
      </c>
      <c r="C135">
        <v>5</v>
      </c>
      <c r="D135" t="s">
        <v>22</v>
      </c>
      <c r="E135" s="2">
        <v>6417000</v>
      </c>
      <c r="F135" s="2">
        <v>466927.79</v>
      </c>
      <c r="G135" s="2">
        <v>255011.4</v>
      </c>
      <c r="H135" s="2">
        <v>197197.74</v>
      </c>
      <c r="I135" s="2">
        <v>18437.919999999998</v>
      </c>
      <c r="J135">
        <v>29</v>
      </c>
      <c r="K135">
        <v>1</v>
      </c>
      <c r="L135">
        <v>45</v>
      </c>
      <c r="M135">
        <v>1</v>
      </c>
      <c r="N135">
        <v>13</v>
      </c>
      <c r="O135" s="2">
        <v>21044.58</v>
      </c>
      <c r="P135" s="2">
        <v>110.57</v>
      </c>
      <c r="Q135" s="2">
        <v>104.42</v>
      </c>
    </row>
    <row r="136" spans="1:17" x14ac:dyDescent="0.45">
      <c r="A136" s="1">
        <v>45017</v>
      </c>
      <c r="B136">
        <v>2023</v>
      </c>
      <c r="C136">
        <v>7</v>
      </c>
      <c r="D136" t="s">
        <v>19</v>
      </c>
      <c r="E136" s="2">
        <v>5142000</v>
      </c>
      <c r="F136" s="2">
        <v>440137.2</v>
      </c>
      <c r="G136" s="2">
        <v>356264.93</v>
      </c>
      <c r="H136" s="2">
        <v>62944.68</v>
      </c>
      <c r="I136" s="2">
        <v>24939.599999999999</v>
      </c>
      <c r="J136">
        <v>36</v>
      </c>
      <c r="K136">
        <v>1</v>
      </c>
      <c r="L136">
        <v>67</v>
      </c>
      <c r="M136">
        <v>0</v>
      </c>
      <c r="N136">
        <v>13</v>
      </c>
      <c r="O136" s="2">
        <v>12162.21</v>
      </c>
      <c r="P136" s="2">
        <v>104.97</v>
      </c>
      <c r="Q136" s="2">
        <v>108.39</v>
      </c>
    </row>
    <row r="137" spans="1:17" x14ac:dyDescent="0.45">
      <c r="A137" s="1">
        <v>45870</v>
      </c>
      <c r="B137">
        <v>2025</v>
      </c>
      <c r="C137">
        <v>11</v>
      </c>
      <c r="D137" t="s">
        <v>24</v>
      </c>
      <c r="E137" s="2">
        <v>15492000</v>
      </c>
      <c r="F137" s="2">
        <v>1215091.44</v>
      </c>
      <c r="G137" s="2">
        <v>659835.21</v>
      </c>
      <c r="H137" s="2">
        <v>464584.94</v>
      </c>
      <c r="I137" s="2">
        <v>52625.48</v>
      </c>
      <c r="J137">
        <v>84</v>
      </c>
      <c r="K137">
        <v>6</v>
      </c>
      <c r="L137">
        <v>50</v>
      </c>
      <c r="M137">
        <v>5</v>
      </c>
      <c r="N137">
        <v>23</v>
      </c>
      <c r="O137" s="2"/>
      <c r="P137" s="2">
        <v>116.21</v>
      </c>
      <c r="Q137" s="2">
        <v>117.45</v>
      </c>
    </row>
    <row r="138" spans="1:17" x14ac:dyDescent="0.45">
      <c r="A138" s="1">
        <v>45992</v>
      </c>
      <c r="B138">
        <v>2026</v>
      </c>
      <c r="C138">
        <v>3</v>
      </c>
      <c r="D138" t="s">
        <v>25</v>
      </c>
      <c r="E138" s="2">
        <v>4988000</v>
      </c>
      <c r="F138" s="2">
        <v>437155.37</v>
      </c>
      <c r="G138" s="2">
        <v>345584.94</v>
      </c>
      <c r="H138" s="2">
        <v>85275.62</v>
      </c>
      <c r="I138" s="2">
        <v>3885.67</v>
      </c>
      <c r="J138">
        <v>33</v>
      </c>
      <c r="K138">
        <v>3</v>
      </c>
      <c r="L138">
        <v>57</v>
      </c>
      <c r="M138">
        <v>0</v>
      </c>
      <c r="N138">
        <v>12</v>
      </c>
      <c r="O138" s="2">
        <v>9535.92</v>
      </c>
      <c r="P138" s="2">
        <v>124.86</v>
      </c>
      <c r="Q138" s="2">
        <v>118.83</v>
      </c>
    </row>
    <row r="139" spans="1:17" x14ac:dyDescent="0.45">
      <c r="A139" s="1">
        <v>45536</v>
      </c>
      <c r="B139">
        <v>2024</v>
      </c>
      <c r="C139">
        <v>12</v>
      </c>
      <c r="D139" t="s">
        <v>25</v>
      </c>
      <c r="E139" s="2">
        <v>4657000</v>
      </c>
      <c r="F139" s="2">
        <v>419102.44</v>
      </c>
      <c r="G139" s="2">
        <v>329406.19</v>
      </c>
      <c r="H139" s="2">
        <v>74039.149999999994</v>
      </c>
      <c r="I139" s="2">
        <v>10792.98</v>
      </c>
      <c r="J139">
        <v>34</v>
      </c>
      <c r="K139">
        <v>0</v>
      </c>
      <c r="L139">
        <v>39</v>
      </c>
      <c r="M139">
        <v>4</v>
      </c>
      <c r="N139">
        <v>15</v>
      </c>
      <c r="O139" s="2">
        <v>54055.7</v>
      </c>
      <c r="P139" s="2">
        <v>104.87</v>
      </c>
      <c r="Q139" s="2">
        <v>114.44</v>
      </c>
    </row>
    <row r="140" spans="1:17" x14ac:dyDescent="0.45">
      <c r="A140" s="1">
        <v>45047</v>
      </c>
      <c r="B140">
        <v>2023</v>
      </c>
      <c r="C140">
        <v>8</v>
      </c>
      <c r="D140" t="s">
        <v>28</v>
      </c>
      <c r="E140" s="2">
        <v>23567000</v>
      </c>
      <c r="F140" s="2">
        <v>2082468.15</v>
      </c>
      <c r="G140" s="2">
        <v>1604789.74</v>
      </c>
      <c r="H140" s="2">
        <v>395870.03</v>
      </c>
      <c r="I140" s="2">
        <v>67942.399999999994</v>
      </c>
      <c r="J140">
        <v>178</v>
      </c>
      <c r="K140">
        <v>15</v>
      </c>
      <c r="L140">
        <v>645</v>
      </c>
      <c r="M140">
        <v>7</v>
      </c>
      <c r="N140">
        <v>30</v>
      </c>
      <c r="O140" s="2">
        <v>446151.78</v>
      </c>
      <c r="P140" s="2">
        <v>102.46</v>
      </c>
      <c r="Q140" s="2">
        <v>108.53</v>
      </c>
    </row>
    <row r="141" spans="1:17" x14ac:dyDescent="0.45">
      <c r="A141" s="1">
        <v>45748</v>
      </c>
      <c r="B141">
        <v>2025</v>
      </c>
      <c r="C141">
        <v>7</v>
      </c>
      <c r="D141" t="s">
        <v>24</v>
      </c>
      <c r="E141" s="2">
        <v>15492000</v>
      </c>
      <c r="F141" s="2">
        <v>1330800.42</v>
      </c>
      <c r="G141" s="2">
        <v>662661.73</v>
      </c>
      <c r="H141" s="2">
        <v>594890.31999999995</v>
      </c>
      <c r="I141" s="2">
        <v>50445.68</v>
      </c>
      <c r="J141">
        <v>84</v>
      </c>
      <c r="K141">
        <v>4</v>
      </c>
      <c r="L141">
        <v>46</v>
      </c>
      <c r="M141">
        <v>4</v>
      </c>
      <c r="N141">
        <v>21</v>
      </c>
      <c r="O141" s="2">
        <v>159476.5</v>
      </c>
      <c r="P141" s="2">
        <v>113.09</v>
      </c>
      <c r="Q141" s="2">
        <v>116.6</v>
      </c>
    </row>
    <row r="142" spans="1:17" x14ac:dyDescent="0.45">
      <c r="A142" s="1">
        <v>45689</v>
      </c>
      <c r="B142">
        <v>2025</v>
      </c>
      <c r="C142">
        <v>5</v>
      </c>
      <c r="D142" t="s">
        <v>24</v>
      </c>
      <c r="E142" s="2">
        <v>15492000</v>
      </c>
      <c r="F142" s="2">
        <v>1197070.67</v>
      </c>
      <c r="G142" s="2">
        <v>661156.21</v>
      </c>
      <c r="H142" s="2">
        <v>495285.66</v>
      </c>
      <c r="I142" s="2">
        <v>65731.929999999993</v>
      </c>
      <c r="J142">
        <v>82</v>
      </c>
      <c r="K142">
        <v>6</v>
      </c>
      <c r="L142">
        <v>149</v>
      </c>
      <c r="M142">
        <v>4</v>
      </c>
      <c r="N142">
        <v>23</v>
      </c>
      <c r="O142" s="2">
        <v>201558.51</v>
      </c>
      <c r="P142" s="2">
        <v>111.75</v>
      </c>
      <c r="Q142" s="2">
        <v>115.87</v>
      </c>
    </row>
    <row r="143" spans="1:17" x14ac:dyDescent="0.45">
      <c r="A143" s="1">
        <v>44287</v>
      </c>
      <c r="B143">
        <v>2021</v>
      </c>
      <c r="C143">
        <v>7</v>
      </c>
      <c r="D143" t="s">
        <v>18</v>
      </c>
      <c r="E143" s="2">
        <v>3500000</v>
      </c>
      <c r="F143" s="2">
        <v>288536.89</v>
      </c>
      <c r="G143" s="2">
        <v>240298.51</v>
      </c>
      <c r="H143" s="2">
        <v>39945.14</v>
      </c>
      <c r="I143" s="2">
        <v>3231.63</v>
      </c>
      <c r="J143">
        <v>26</v>
      </c>
      <c r="K143">
        <v>0</v>
      </c>
      <c r="L143">
        <v>61</v>
      </c>
      <c r="M143">
        <v>0</v>
      </c>
      <c r="N143">
        <v>4</v>
      </c>
      <c r="O143" s="2">
        <v>1659.09</v>
      </c>
      <c r="P143" s="2">
        <v>106.3</v>
      </c>
      <c r="Q143" s="2">
        <v>100.17</v>
      </c>
    </row>
    <row r="144" spans="1:17" x14ac:dyDescent="0.45">
      <c r="A144" s="1">
        <v>45992</v>
      </c>
      <c r="B144">
        <v>2026</v>
      </c>
      <c r="C144">
        <v>3</v>
      </c>
      <c r="D144" t="s">
        <v>17</v>
      </c>
      <c r="E144" s="2">
        <v>8670000</v>
      </c>
      <c r="F144" s="2">
        <v>805088.2</v>
      </c>
      <c r="G144" s="2">
        <v>390301.16</v>
      </c>
      <c r="H144" s="2">
        <v>392399.56</v>
      </c>
      <c r="I144" s="2">
        <v>37773.43</v>
      </c>
      <c r="J144">
        <v>46</v>
      </c>
      <c r="K144">
        <v>4</v>
      </c>
      <c r="L144">
        <v>62</v>
      </c>
      <c r="M144">
        <v>2</v>
      </c>
      <c r="N144">
        <v>14</v>
      </c>
      <c r="O144" s="2">
        <v>39708.54</v>
      </c>
      <c r="P144" s="2">
        <v>120.61</v>
      </c>
      <c r="Q144" s="2">
        <v>119.44</v>
      </c>
    </row>
    <row r="145" spans="1:17" x14ac:dyDescent="0.45">
      <c r="A145" s="1">
        <v>45809</v>
      </c>
      <c r="B145">
        <v>2025</v>
      </c>
      <c r="C145">
        <v>9</v>
      </c>
      <c r="D145" t="s">
        <v>27</v>
      </c>
      <c r="E145" s="2">
        <v>28688000</v>
      </c>
      <c r="F145" s="2">
        <v>2594188.7000000002</v>
      </c>
      <c r="G145" s="2">
        <v>1914325.14</v>
      </c>
      <c r="H145" s="2">
        <v>634023.41</v>
      </c>
      <c r="I145" s="2">
        <v>74891.789999999994</v>
      </c>
      <c r="J145">
        <v>211</v>
      </c>
      <c r="K145">
        <v>18</v>
      </c>
      <c r="L145">
        <v>1021</v>
      </c>
      <c r="M145">
        <v>8</v>
      </c>
      <c r="N145">
        <v>31</v>
      </c>
      <c r="O145" s="2">
        <v>418054.2</v>
      </c>
      <c r="P145" s="2">
        <v>115.08</v>
      </c>
      <c r="Q145" s="2">
        <v>117.1</v>
      </c>
    </row>
    <row r="146" spans="1:17" x14ac:dyDescent="0.45">
      <c r="A146" s="1">
        <v>44927</v>
      </c>
      <c r="B146">
        <v>2023</v>
      </c>
      <c r="C146">
        <v>4</v>
      </c>
      <c r="D146" t="s">
        <v>27</v>
      </c>
      <c r="E146" s="2">
        <v>26781000</v>
      </c>
      <c r="F146" s="2">
        <v>2374517.21</v>
      </c>
      <c r="G146" s="2">
        <v>1747966.5</v>
      </c>
      <c r="H146" s="2">
        <v>556191.69999999995</v>
      </c>
      <c r="I146" s="2">
        <v>51203.89</v>
      </c>
      <c r="J146">
        <v>211</v>
      </c>
      <c r="K146">
        <v>18</v>
      </c>
      <c r="L146">
        <v>478</v>
      </c>
      <c r="M146">
        <v>7</v>
      </c>
      <c r="N146">
        <v>34</v>
      </c>
      <c r="O146" s="2">
        <v>603172.56999999995</v>
      </c>
      <c r="P146" s="2">
        <v>108.63</v>
      </c>
      <c r="Q146" s="2">
        <v>108.03</v>
      </c>
    </row>
    <row r="147" spans="1:17" x14ac:dyDescent="0.45">
      <c r="A147" s="1">
        <v>44409</v>
      </c>
      <c r="B147">
        <v>2021</v>
      </c>
      <c r="C147">
        <v>11</v>
      </c>
      <c r="D147" t="s">
        <v>23</v>
      </c>
      <c r="E147" s="2">
        <v>19000000</v>
      </c>
      <c r="F147" s="2">
        <v>1573095.19</v>
      </c>
      <c r="G147" s="2">
        <v>729173.25</v>
      </c>
      <c r="H147" s="2">
        <v>748475.74</v>
      </c>
      <c r="I147" s="2">
        <v>63724.42</v>
      </c>
      <c r="J147">
        <v>98</v>
      </c>
      <c r="K147">
        <v>7</v>
      </c>
      <c r="L147">
        <v>391</v>
      </c>
      <c r="M147">
        <v>8</v>
      </c>
      <c r="N147">
        <v>31</v>
      </c>
      <c r="O147" s="2">
        <v>366425.85</v>
      </c>
      <c r="P147" s="2">
        <v>106.79</v>
      </c>
      <c r="Q147" s="2">
        <v>102.17</v>
      </c>
    </row>
    <row r="148" spans="1:17" x14ac:dyDescent="0.45">
      <c r="A148" s="1">
        <v>45931</v>
      </c>
      <c r="B148">
        <v>2026</v>
      </c>
      <c r="C148">
        <v>1</v>
      </c>
      <c r="D148" t="s">
        <v>17</v>
      </c>
      <c r="E148" s="2">
        <v>8670000</v>
      </c>
      <c r="F148" s="2">
        <v>914564.88</v>
      </c>
      <c r="G148" s="2">
        <v>390299.73</v>
      </c>
      <c r="H148" s="2">
        <v>308895.56</v>
      </c>
      <c r="I148" s="2">
        <v>232244.71</v>
      </c>
      <c r="J148">
        <v>45</v>
      </c>
      <c r="K148">
        <v>3</v>
      </c>
      <c r="L148">
        <v>55</v>
      </c>
      <c r="M148">
        <v>2</v>
      </c>
      <c r="N148">
        <v>13</v>
      </c>
      <c r="O148" s="2">
        <v>48920.38</v>
      </c>
      <c r="P148" s="2">
        <v>122.89</v>
      </c>
      <c r="Q148" s="2">
        <v>117.62</v>
      </c>
    </row>
    <row r="149" spans="1:17" x14ac:dyDescent="0.45">
      <c r="A149" s="1">
        <v>45689</v>
      </c>
      <c r="B149">
        <v>2025</v>
      </c>
      <c r="C149">
        <v>5</v>
      </c>
      <c r="D149" t="s">
        <v>18</v>
      </c>
      <c r="E149" s="2">
        <v>4016000</v>
      </c>
      <c r="F149" s="2">
        <v>343635.46</v>
      </c>
      <c r="G149" s="2">
        <v>283679.90000000002</v>
      </c>
      <c r="H149" s="2">
        <v>42006.68</v>
      </c>
      <c r="I149" s="2">
        <v>21045.919999999998</v>
      </c>
      <c r="J149">
        <v>28</v>
      </c>
      <c r="K149">
        <v>2</v>
      </c>
      <c r="L149">
        <v>5</v>
      </c>
      <c r="M149">
        <v>3</v>
      </c>
      <c r="N149">
        <v>9</v>
      </c>
      <c r="O149" s="2">
        <v>29999.37</v>
      </c>
      <c r="P149" s="2">
        <v>111.81</v>
      </c>
      <c r="Q149" s="2">
        <v>115.58</v>
      </c>
    </row>
    <row r="150" spans="1:17" x14ac:dyDescent="0.45">
      <c r="A150" s="1">
        <v>45627</v>
      </c>
      <c r="B150">
        <v>2025</v>
      </c>
      <c r="C150">
        <v>3</v>
      </c>
      <c r="D150" t="s">
        <v>22</v>
      </c>
      <c r="E150" s="2">
        <v>7115000</v>
      </c>
      <c r="F150" s="2">
        <v>763346.87</v>
      </c>
      <c r="G150" s="2">
        <v>321969.91999999998</v>
      </c>
      <c r="H150" s="2">
        <v>285197.93</v>
      </c>
      <c r="I150" s="2">
        <v>147973.07999999999</v>
      </c>
      <c r="J150">
        <v>32</v>
      </c>
      <c r="K150">
        <v>1</v>
      </c>
      <c r="L150">
        <v>54</v>
      </c>
      <c r="M150">
        <v>3</v>
      </c>
      <c r="N150">
        <v>15</v>
      </c>
      <c r="O150" s="2">
        <v>48829.35</v>
      </c>
      <c r="P150" s="2">
        <v>108.91</v>
      </c>
      <c r="Q150" s="2">
        <v>115.12</v>
      </c>
    </row>
    <row r="151" spans="1:17" x14ac:dyDescent="0.45">
      <c r="A151" s="1">
        <v>45474</v>
      </c>
      <c r="B151">
        <v>2024</v>
      </c>
      <c r="C151">
        <v>10</v>
      </c>
      <c r="D151" t="s">
        <v>23</v>
      </c>
      <c r="E151" s="2">
        <v>21066000</v>
      </c>
      <c r="F151" s="2">
        <v>1624764.28</v>
      </c>
      <c r="G151" s="2">
        <v>816677.94</v>
      </c>
      <c r="H151" s="2">
        <v>748158.68</v>
      </c>
      <c r="I151" s="2">
        <v>35592.839999999997</v>
      </c>
      <c r="J151">
        <v>98</v>
      </c>
      <c r="K151">
        <v>9</v>
      </c>
      <c r="L151">
        <v>391</v>
      </c>
      <c r="M151">
        <v>8</v>
      </c>
      <c r="N151">
        <v>35</v>
      </c>
      <c r="O151" s="2">
        <v>322990.07</v>
      </c>
      <c r="P151" s="2">
        <v>102.08</v>
      </c>
      <c r="Q151" s="2">
        <v>113.12</v>
      </c>
    </row>
    <row r="152" spans="1:17" x14ac:dyDescent="0.45">
      <c r="A152" s="1">
        <v>44287</v>
      </c>
      <c r="B152">
        <v>2021</v>
      </c>
      <c r="C152">
        <v>7</v>
      </c>
      <c r="D152" t="s">
        <v>25</v>
      </c>
      <c r="E152" s="2">
        <v>4200000</v>
      </c>
      <c r="F152" s="2">
        <v>339083.54</v>
      </c>
      <c r="G152" s="2">
        <v>275777.06</v>
      </c>
      <c r="H152" s="2">
        <v>57296.97</v>
      </c>
      <c r="I152" s="2">
        <v>6529.23</v>
      </c>
      <c r="J152">
        <v>31</v>
      </c>
      <c r="K152">
        <v>4</v>
      </c>
      <c r="L152">
        <v>47</v>
      </c>
      <c r="M152">
        <v>0</v>
      </c>
      <c r="N152">
        <v>11</v>
      </c>
      <c r="O152" s="2"/>
      <c r="P152" s="2">
        <v>102.79</v>
      </c>
      <c r="Q152" s="2">
        <v>101.36</v>
      </c>
    </row>
    <row r="153" spans="1:17" x14ac:dyDescent="0.45">
      <c r="A153" s="1">
        <v>44256</v>
      </c>
      <c r="B153">
        <v>2021</v>
      </c>
      <c r="C153">
        <v>6</v>
      </c>
      <c r="D153" t="s">
        <v>18</v>
      </c>
      <c r="E153" s="2">
        <v>3500000</v>
      </c>
      <c r="F153" s="2">
        <v>283150.73</v>
      </c>
      <c r="G153" s="2">
        <v>247678.15</v>
      </c>
      <c r="H153" s="2">
        <v>37245.480000000003</v>
      </c>
      <c r="I153" s="2">
        <v>2002.32</v>
      </c>
      <c r="J153">
        <v>26</v>
      </c>
      <c r="K153">
        <v>4</v>
      </c>
      <c r="L153">
        <v>45</v>
      </c>
      <c r="M153">
        <v>2</v>
      </c>
      <c r="N153">
        <v>12</v>
      </c>
      <c r="O153" s="2">
        <v>21782.73</v>
      </c>
      <c r="P153" s="2">
        <v>102.88</v>
      </c>
      <c r="Q153" s="2">
        <v>99.76</v>
      </c>
    </row>
    <row r="154" spans="1:17" x14ac:dyDescent="0.45">
      <c r="A154" s="1">
        <v>44713</v>
      </c>
      <c r="B154">
        <v>2022</v>
      </c>
      <c r="C154">
        <v>9</v>
      </c>
      <c r="D154" t="s">
        <v>25</v>
      </c>
      <c r="E154" s="2">
        <v>4347000</v>
      </c>
      <c r="F154" s="2">
        <v>387009.37</v>
      </c>
      <c r="G154" s="2">
        <v>310698.59999999998</v>
      </c>
      <c r="H154" s="2">
        <v>68420.62</v>
      </c>
      <c r="I154" s="2">
        <v>4146.01</v>
      </c>
      <c r="J154">
        <v>34</v>
      </c>
      <c r="K154">
        <v>2</v>
      </c>
      <c r="L154">
        <v>25</v>
      </c>
      <c r="M154">
        <v>3</v>
      </c>
      <c r="N154">
        <v>14</v>
      </c>
      <c r="O154" s="2">
        <v>32672.959999999999</v>
      </c>
      <c r="P154" s="2">
        <v>111.5</v>
      </c>
      <c r="Q154" s="2">
        <v>105.68</v>
      </c>
    </row>
    <row r="155" spans="1:17" x14ac:dyDescent="0.45">
      <c r="A155" s="1">
        <v>44287</v>
      </c>
      <c r="B155">
        <v>2021</v>
      </c>
      <c r="C155">
        <v>7</v>
      </c>
      <c r="D155" t="s">
        <v>27</v>
      </c>
      <c r="E155" s="2">
        <v>25000000</v>
      </c>
      <c r="F155" s="2">
        <v>2113250.4300000002</v>
      </c>
      <c r="G155" s="2">
        <v>1569796.83</v>
      </c>
      <c r="H155" s="2">
        <v>398074.21</v>
      </c>
      <c r="I155" s="2">
        <v>67271.25</v>
      </c>
      <c r="J155">
        <v>208</v>
      </c>
      <c r="K155">
        <v>15</v>
      </c>
      <c r="L155">
        <v>959</v>
      </c>
      <c r="M155">
        <v>7</v>
      </c>
      <c r="N155">
        <v>37</v>
      </c>
      <c r="O155" s="2">
        <v>326641.75</v>
      </c>
      <c r="P155" s="2">
        <v>104.43</v>
      </c>
      <c r="Q155" s="2">
        <v>100.27</v>
      </c>
    </row>
    <row r="156" spans="1:17" x14ac:dyDescent="0.45">
      <c r="A156" s="1">
        <v>45108</v>
      </c>
      <c r="B156">
        <v>2023</v>
      </c>
      <c r="C156">
        <v>10</v>
      </c>
      <c r="D156" t="s">
        <v>18</v>
      </c>
      <c r="E156" s="2">
        <v>3749000</v>
      </c>
      <c r="F156" s="2">
        <v>319357.44</v>
      </c>
      <c r="G156" s="2">
        <v>276616.28000000003</v>
      </c>
      <c r="H156" s="2">
        <v>41285.800000000003</v>
      </c>
      <c r="I156" s="2">
        <v>6917.21</v>
      </c>
      <c r="J156">
        <v>28</v>
      </c>
      <c r="K156">
        <v>4</v>
      </c>
      <c r="L156">
        <v>31</v>
      </c>
      <c r="M156">
        <v>1</v>
      </c>
      <c r="N156">
        <v>18</v>
      </c>
      <c r="O156" s="2">
        <v>20738.150000000001</v>
      </c>
      <c r="P156" s="2">
        <v>104.55</v>
      </c>
      <c r="Q156" s="2">
        <v>109.24</v>
      </c>
    </row>
    <row r="157" spans="1:17" x14ac:dyDescent="0.45">
      <c r="A157" s="1">
        <v>44287</v>
      </c>
      <c r="B157">
        <v>2021</v>
      </c>
      <c r="C157">
        <v>7</v>
      </c>
      <c r="D157" t="s">
        <v>19</v>
      </c>
      <c r="E157" s="2">
        <v>4800000</v>
      </c>
      <c r="F157" s="2">
        <v>392258.24</v>
      </c>
      <c r="G157" s="2">
        <v>318102.90999999997</v>
      </c>
      <c r="H157" s="2">
        <v>58617.81</v>
      </c>
      <c r="I157" s="2">
        <v>8814.2999999999993</v>
      </c>
      <c r="J157">
        <v>36</v>
      </c>
      <c r="K157">
        <v>2</v>
      </c>
      <c r="L157">
        <v>59</v>
      </c>
      <c r="M157">
        <v>1</v>
      </c>
      <c r="N157">
        <v>12</v>
      </c>
      <c r="O157" s="2">
        <v>19873.7</v>
      </c>
      <c r="P157" s="2">
        <v>103.16</v>
      </c>
      <c r="Q157" s="2">
        <v>100.8</v>
      </c>
    </row>
    <row r="158" spans="1:17" x14ac:dyDescent="0.45">
      <c r="A158" s="1">
        <v>45597</v>
      </c>
      <c r="B158">
        <v>2025</v>
      </c>
      <c r="C158">
        <v>2</v>
      </c>
      <c r="D158" t="s">
        <v>28</v>
      </c>
      <c r="E158" s="2">
        <v>25246000</v>
      </c>
      <c r="F158" s="2">
        <v>2169226.2599999998</v>
      </c>
      <c r="G158" s="2">
        <v>1730545.77</v>
      </c>
      <c r="H158" s="2">
        <v>478757.21</v>
      </c>
      <c r="I158" s="2">
        <v>69041.31</v>
      </c>
      <c r="J158">
        <v>187</v>
      </c>
      <c r="K158">
        <v>13</v>
      </c>
      <c r="L158">
        <v>711</v>
      </c>
      <c r="M158">
        <v>7</v>
      </c>
      <c r="N158">
        <v>24</v>
      </c>
      <c r="O158" s="2">
        <v>299548.15000000002</v>
      </c>
      <c r="P158" s="2">
        <v>105.53</v>
      </c>
      <c r="Q158" s="2">
        <v>114.3</v>
      </c>
    </row>
    <row r="159" spans="1:17" x14ac:dyDescent="0.45">
      <c r="A159" s="1">
        <v>45413</v>
      </c>
      <c r="B159">
        <v>2024</v>
      </c>
      <c r="C159">
        <v>8</v>
      </c>
      <c r="D159" t="s">
        <v>18</v>
      </c>
      <c r="E159" s="2">
        <v>3881000</v>
      </c>
      <c r="F159" s="2">
        <v>316908.98</v>
      </c>
      <c r="G159" s="2">
        <v>273046.77</v>
      </c>
      <c r="H159" s="2">
        <v>43352.84</v>
      </c>
      <c r="I159" s="2">
        <v>2621.3200000000002</v>
      </c>
      <c r="J159">
        <v>28</v>
      </c>
      <c r="K159">
        <v>4</v>
      </c>
      <c r="L159">
        <v>42</v>
      </c>
      <c r="M159">
        <v>2</v>
      </c>
      <c r="N159">
        <v>12</v>
      </c>
      <c r="O159" s="2">
        <v>17048.259999999998</v>
      </c>
      <c r="P159" s="2">
        <v>103.24</v>
      </c>
      <c r="Q159" s="2">
        <v>112.61</v>
      </c>
    </row>
    <row r="160" spans="1:17" x14ac:dyDescent="0.45">
      <c r="A160" s="1">
        <v>44774</v>
      </c>
      <c r="B160">
        <v>2022</v>
      </c>
      <c r="C160">
        <v>11</v>
      </c>
      <c r="D160" t="s">
        <v>21</v>
      </c>
      <c r="E160" s="2">
        <v>8280000</v>
      </c>
      <c r="F160" s="2">
        <v>711627.07</v>
      </c>
      <c r="G160" s="2">
        <v>441029.9</v>
      </c>
      <c r="H160" s="2">
        <v>230613.33</v>
      </c>
      <c r="I160" s="2">
        <v>27473.54</v>
      </c>
      <c r="J160">
        <v>64</v>
      </c>
      <c r="K160">
        <v>1</v>
      </c>
      <c r="L160">
        <v>118</v>
      </c>
      <c r="M160">
        <v>3</v>
      </c>
      <c r="N160">
        <v>16</v>
      </c>
      <c r="O160" s="2">
        <v>48545.79</v>
      </c>
      <c r="P160" s="2">
        <v>111.12</v>
      </c>
      <c r="Q160" s="2">
        <v>105.77</v>
      </c>
    </row>
    <row r="161" spans="1:17" x14ac:dyDescent="0.45">
      <c r="A161" s="1">
        <v>45017</v>
      </c>
      <c r="B161">
        <v>2023</v>
      </c>
      <c r="C161">
        <v>7</v>
      </c>
      <c r="D161" t="s">
        <v>22</v>
      </c>
      <c r="E161" s="2">
        <v>6642000</v>
      </c>
      <c r="F161" s="2">
        <v>586076.37</v>
      </c>
      <c r="G161" s="2">
        <v>261840.65</v>
      </c>
      <c r="H161" s="2">
        <v>215875.91</v>
      </c>
      <c r="I161" s="2">
        <v>121618.16</v>
      </c>
      <c r="J161">
        <v>29</v>
      </c>
      <c r="L161">
        <v>55</v>
      </c>
      <c r="M161">
        <v>2</v>
      </c>
      <c r="N161">
        <v>11</v>
      </c>
      <c r="O161" s="2">
        <v>35066.089999999997</v>
      </c>
      <c r="P161" s="2">
        <v>103.27</v>
      </c>
      <c r="Q161" s="2">
        <v>108.4</v>
      </c>
    </row>
    <row r="162" spans="1:17" x14ac:dyDescent="0.45">
      <c r="A162" s="1">
        <v>45962</v>
      </c>
      <c r="B162">
        <v>2026</v>
      </c>
      <c r="C162">
        <v>2</v>
      </c>
      <c r="D162" t="s">
        <v>23</v>
      </c>
      <c r="E162" s="2">
        <v>22566000</v>
      </c>
      <c r="F162" s="2">
        <v>2007001.26</v>
      </c>
      <c r="G162" s="2">
        <v>937298.74</v>
      </c>
      <c r="H162" s="2">
        <v>1031381.15</v>
      </c>
      <c r="I162" s="2">
        <v>72485.89</v>
      </c>
      <c r="J162">
        <v>103</v>
      </c>
      <c r="K162">
        <v>5</v>
      </c>
      <c r="L162">
        <v>592</v>
      </c>
      <c r="M162">
        <v>7</v>
      </c>
      <c r="N162">
        <v>28</v>
      </c>
      <c r="O162" s="2">
        <v>493140.38</v>
      </c>
      <c r="P162" s="2">
        <v>121.25</v>
      </c>
      <c r="Q162" s="2">
        <v>117.13</v>
      </c>
    </row>
    <row r="163" spans="1:17" x14ac:dyDescent="0.45">
      <c r="A163" s="1">
        <v>44621</v>
      </c>
      <c r="B163">
        <v>2022</v>
      </c>
      <c r="C163">
        <v>6</v>
      </c>
      <c r="D163" t="s">
        <v>27</v>
      </c>
      <c r="E163" s="2">
        <v>25875000</v>
      </c>
      <c r="F163" s="2">
        <v>2217850.39</v>
      </c>
      <c r="G163" s="2">
        <v>1661786.13</v>
      </c>
      <c r="H163" s="2">
        <v>495749.19</v>
      </c>
      <c r="I163" s="2">
        <v>25765.1</v>
      </c>
      <c r="J163">
        <v>205</v>
      </c>
      <c r="K163">
        <v>15</v>
      </c>
      <c r="L163">
        <v>723</v>
      </c>
      <c r="M163">
        <v>6</v>
      </c>
      <c r="N163">
        <v>33</v>
      </c>
      <c r="O163" s="2">
        <v>520338.12</v>
      </c>
      <c r="P163" s="2">
        <v>107.75</v>
      </c>
      <c r="Q163" s="2">
        <v>103.59</v>
      </c>
    </row>
    <row r="164" spans="1:17" x14ac:dyDescent="0.45">
      <c r="A164" s="1">
        <v>45323</v>
      </c>
      <c r="B164">
        <v>2024</v>
      </c>
      <c r="C164">
        <v>5</v>
      </c>
      <c r="D164" t="s">
        <v>28</v>
      </c>
      <c r="E164" s="2">
        <v>24392000</v>
      </c>
      <c r="F164" s="2">
        <v>2035775.34</v>
      </c>
      <c r="G164" s="2">
        <v>1650270.19</v>
      </c>
      <c r="H164" s="2">
        <v>307411.31</v>
      </c>
      <c r="I164" s="2">
        <v>28788.2</v>
      </c>
      <c r="J164">
        <v>176</v>
      </c>
      <c r="K164">
        <v>13</v>
      </c>
      <c r="L164">
        <v>887</v>
      </c>
      <c r="M164">
        <v>5</v>
      </c>
      <c r="N164">
        <v>27</v>
      </c>
      <c r="O164" s="2">
        <v>299179.81</v>
      </c>
      <c r="P164" s="2">
        <v>100.83</v>
      </c>
      <c r="Q164" s="2">
        <v>111.12</v>
      </c>
    </row>
    <row r="165" spans="1:17" x14ac:dyDescent="0.45">
      <c r="A165" s="1">
        <v>45474</v>
      </c>
      <c r="B165">
        <v>2024</v>
      </c>
      <c r="C165">
        <v>10</v>
      </c>
      <c r="D165" t="s">
        <v>18</v>
      </c>
      <c r="E165" s="2">
        <v>3881000</v>
      </c>
      <c r="F165" s="2">
        <v>338726.53</v>
      </c>
      <c r="G165" s="2">
        <v>287559.64</v>
      </c>
      <c r="H165" s="2">
        <v>43038.84</v>
      </c>
      <c r="I165" s="2">
        <v>2007.01</v>
      </c>
      <c r="J165">
        <v>28</v>
      </c>
      <c r="K165">
        <v>1</v>
      </c>
      <c r="L165">
        <v>38</v>
      </c>
      <c r="M165">
        <v>1</v>
      </c>
      <c r="N165">
        <v>13</v>
      </c>
      <c r="O165" s="2">
        <v>13802.55</v>
      </c>
      <c r="P165" s="2">
        <v>103.26</v>
      </c>
      <c r="Q165" s="2">
        <v>112.99</v>
      </c>
    </row>
    <row r="166" spans="1:17" x14ac:dyDescent="0.45">
      <c r="A166" s="1">
        <v>45962</v>
      </c>
      <c r="B166">
        <v>2026</v>
      </c>
      <c r="C166">
        <v>2</v>
      </c>
      <c r="D166" t="s">
        <v>27</v>
      </c>
      <c r="E166" s="2">
        <v>29692000</v>
      </c>
      <c r="F166" s="2">
        <v>2620380.54</v>
      </c>
      <c r="G166" s="2">
        <v>2059988.84</v>
      </c>
      <c r="H166" s="2">
        <v>630161.87</v>
      </c>
      <c r="I166" s="2">
        <v>96129.42</v>
      </c>
      <c r="J166">
        <v>219</v>
      </c>
      <c r="K166">
        <v>17</v>
      </c>
      <c r="L166">
        <v>848</v>
      </c>
      <c r="M166">
        <v>8</v>
      </c>
      <c r="N166">
        <v>34</v>
      </c>
      <c r="O166" s="2">
        <v>707010.42</v>
      </c>
      <c r="P166" s="2">
        <v>120.51</v>
      </c>
      <c r="Q166" s="2">
        <v>119.51</v>
      </c>
    </row>
    <row r="167" spans="1:17" x14ac:dyDescent="0.45">
      <c r="A167" s="1">
        <v>45474</v>
      </c>
      <c r="B167">
        <v>2024</v>
      </c>
      <c r="C167">
        <v>10</v>
      </c>
      <c r="D167" t="s">
        <v>24</v>
      </c>
      <c r="E167" s="2">
        <v>14968000</v>
      </c>
      <c r="F167" s="2">
        <v>1264569.93</v>
      </c>
      <c r="G167" s="2">
        <v>621377.41</v>
      </c>
      <c r="H167" s="2">
        <v>492542.82</v>
      </c>
      <c r="I167" s="2">
        <v>80827.710000000006</v>
      </c>
      <c r="J167">
        <v>81</v>
      </c>
      <c r="K167">
        <v>4</v>
      </c>
      <c r="L167">
        <v>93</v>
      </c>
      <c r="M167">
        <v>6</v>
      </c>
      <c r="N167">
        <v>29</v>
      </c>
      <c r="O167" s="2">
        <v>232212.86</v>
      </c>
      <c r="P167" s="2">
        <v>102.9</v>
      </c>
      <c r="Q167" s="2">
        <v>112.97</v>
      </c>
    </row>
    <row r="168" spans="1:17" x14ac:dyDescent="0.45">
      <c r="A168" s="1">
        <v>44228</v>
      </c>
      <c r="B168">
        <v>2021</v>
      </c>
      <c r="C168">
        <v>5</v>
      </c>
      <c r="D168" t="s">
        <v>23</v>
      </c>
      <c r="E168" s="2">
        <v>19000000</v>
      </c>
      <c r="F168" s="2">
        <v>1380054.23</v>
      </c>
      <c r="G168" s="2">
        <v>744015.03</v>
      </c>
      <c r="H168" s="2">
        <v>720438.41</v>
      </c>
      <c r="I168" s="2">
        <v>39627.89</v>
      </c>
      <c r="J168">
        <v>96</v>
      </c>
      <c r="K168">
        <v>7</v>
      </c>
      <c r="L168">
        <v>423</v>
      </c>
      <c r="M168">
        <v>6</v>
      </c>
      <c r="N168">
        <v>29</v>
      </c>
      <c r="O168" s="2">
        <v>221724.25</v>
      </c>
      <c r="P168" s="2">
        <v>100.12</v>
      </c>
      <c r="Q168" s="2">
        <v>100.67</v>
      </c>
    </row>
    <row r="169" spans="1:17" x14ac:dyDescent="0.45">
      <c r="A169" s="1">
        <v>45017</v>
      </c>
      <c r="B169">
        <v>2023</v>
      </c>
      <c r="C169">
        <v>7</v>
      </c>
      <c r="D169" t="s">
        <v>18</v>
      </c>
      <c r="E169" s="2">
        <v>3749000</v>
      </c>
      <c r="F169" s="2">
        <v>310437.37</v>
      </c>
      <c r="G169" s="2">
        <v>264461.76</v>
      </c>
      <c r="H169" s="2">
        <v>41378.980000000003</v>
      </c>
      <c r="I169" s="2">
        <v>6223.8</v>
      </c>
      <c r="J169">
        <v>27</v>
      </c>
      <c r="K169">
        <v>3</v>
      </c>
      <c r="L169">
        <v>50</v>
      </c>
      <c r="M169">
        <v>2</v>
      </c>
      <c r="N169">
        <v>11</v>
      </c>
      <c r="O169" s="2">
        <v>23348.32</v>
      </c>
      <c r="P169" s="2">
        <v>102.29</v>
      </c>
      <c r="Q169" s="2">
        <v>107.88</v>
      </c>
    </row>
    <row r="170" spans="1:17" x14ac:dyDescent="0.45">
      <c r="A170" s="1">
        <v>44927</v>
      </c>
      <c r="B170">
        <v>2023</v>
      </c>
      <c r="C170">
        <v>4</v>
      </c>
      <c r="D170" t="s">
        <v>21</v>
      </c>
      <c r="E170" s="2">
        <v>8570000</v>
      </c>
      <c r="F170" s="2">
        <v>694742.27</v>
      </c>
      <c r="G170" s="2">
        <v>472495.49</v>
      </c>
      <c r="H170" s="2">
        <v>218278.69</v>
      </c>
      <c r="I170" s="2">
        <v>22525.45</v>
      </c>
      <c r="J170">
        <v>65</v>
      </c>
      <c r="K170">
        <v>4</v>
      </c>
      <c r="L170">
        <v>121</v>
      </c>
      <c r="M170">
        <v>4</v>
      </c>
      <c r="N170">
        <v>19</v>
      </c>
      <c r="O170" s="2">
        <v>113473.47</v>
      </c>
      <c r="P170" s="2">
        <v>105.65</v>
      </c>
      <c r="Q170" s="2">
        <v>107.34</v>
      </c>
    </row>
    <row r="171" spans="1:17" x14ac:dyDescent="0.45">
      <c r="A171" s="1">
        <v>45992</v>
      </c>
      <c r="B171">
        <v>2026</v>
      </c>
      <c r="C171">
        <v>3</v>
      </c>
      <c r="D171" t="s">
        <v>22</v>
      </c>
      <c r="E171" s="2">
        <v>7364000</v>
      </c>
      <c r="F171" s="2">
        <v>817404.59</v>
      </c>
      <c r="G171" s="2">
        <v>309080.96000000002</v>
      </c>
      <c r="H171" s="2">
        <v>336267.65</v>
      </c>
      <c r="I171" s="2">
        <v>165886.87</v>
      </c>
      <c r="J171">
        <v>31</v>
      </c>
      <c r="K171">
        <v>1</v>
      </c>
      <c r="L171">
        <v>69</v>
      </c>
      <c r="M171">
        <v>0</v>
      </c>
      <c r="N171">
        <v>10</v>
      </c>
      <c r="O171" s="2">
        <v>12614.48</v>
      </c>
      <c r="P171" s="2">
        <v>119.52</v>
      </c>
      <c r="Q171" s="2">
        <v>119.27</v>
      </c>
    </row>
    <row r="172" spans="1:17" x14ac:dyDescent="0.45">
      <c r="A172" s="1">
        <v>45352</v>
      </c>
      <c r="B172">
        <v>2024</v>
      </c>
      <c r="C172">
        <v>6</v>
      </c>
      <c r="D172" t="s">
        <v>25</v>
      </c>
      <c r="E172" s="2">
        <v>4657000</v>
      </c>
      <c r="F172" s="2">
        <v>404396.24</v>
      </c>
      <c r="G172" s="2">
        <v>326632.44</v>
      </c>
      <c r="H172" s="2">
        <v>66051.679999999993</v>
      </c>
      <c r="I172" s="2">
        <v>8785.89</v>
      </c>
      <c r="J172">
        <v>34</v>
      </c>
      <c r="K172">
        <v>4</v>
      </c>
      <c r="L172">
        <v>47</v>
      </c>
      <c r="M172">
        <v>2</v>
      </c>
      <c r="N172">
        <v>17</v>
      </c>
      <c r="O172" s="2">
        <v>37350.19</v>
      </c>
      <c r="P172" s="2">
        <v>103.46</v>
      </c>
      <c r="Q172" s="2">
        <v>112.54</v>
      </c>
    </row>
    <row r="173" spans="1:17" x14ac:dyDescent="0.45">
      <c r="A173" s="1">
        <v>45992</v>
      </c>
      <c r="B173">
        <v>2026</v>
      </c>
      <c r="C173">
        <v>3</v>
      </c>
      <c r="D173" t="s">
        <v>21</v>
      </c>
      <c r="E173" s="2">
        <v>9501000</v>
      </c>
      <c r="F173" s="2">
        <v>786928.94</v>
      </c>
      <c r="G173" s="2">
        <v>507342.48</v>
      </c>
      <c r="H173" s="2">
        <v>270883.20000000001</v>
      </c>
      <c r="I173" s="2">
        <v>14980.2</v>
      </c>
      <c r="J173">
        <v>64</v>
      </c>
      <c r="K173">
        <v>3</v>
      </c>
      <c r="L173">
        <v>101</v>
      </c>
      <c r="M173">
        <v>5</v>
      </c>
      <c r="N173">
        <v>20</v>
      </c>
      <c r="O173" s="2">
        <v>110809.72</v>
      </c>
      <c r="P173" s="2">
        <v>121.19</v>
      </c>
      <c r="Q173" s="2">
        <v>119.25</v>
      </c>
    </row>
    <row r="174" spans="1:17" x14ac:dyDescent="0.45">
      <c r="A174" s="1">
        <v>45047</v>
      </c>
      <c r="B174">
        <v>2023</v>
      </c>
      <c r="C174">
        <v>8</v>
      </c>
      <c r="D174" t="s">
        <v>25</v>
      </c>
      <c r="E174" s="2">
        <v>4499000</v>
      </c>
      <c r="F174" s="2">
        <v>357256.32</v>
      </c>
      <c r="G174" s="2">
        <v>293053.25</v>
      </c>
      <c r="H174" s="2">
        <v>62025.37</v>
      </c>
      <c r="I174" s="2">
        <v>3213.94</v>
      </c>
      <c r="J174">
        <v>32</v>
      </c>
      <c r="K174">
        <v>4</v>
      </c>
      <c r="L174">
        <v>35</v>
      </c>
      <c r="M174">
        <v>2</v>
      </c>
      <c r="N174">
        <v>11</v>
      </c>
      <c r="O174" s="2">
        <v>18395.18</v>
      </c>
      <c r="P174" s="2">
        <v>106.31</v>
      </c>
      <c r="Q174" s="2">
        <v>108.93</v>
      </c>
    </row>
    <row r="175" spans="1:17" x14ac:dyDescent="0.45">
      <c r="A175" s="1">
        <v>45474</v>
      </c>
      <c r="B175">
        <v>2024</v>
      </c>
      <c r="C175">
        <v>10</v>
      </c>
      <c r="D175" t="s">
        <v>22</v>
      </c>
      <c r="E175" s="2">
        <v>6874000</v>
      </c>
      <c r="F175" s="2">
        <v>687006.87</v>
      </c>
      <c r="G175" s="2">
        <v>273422.13</v>
      </c>
      <c r="H175" s="2">
        <v>232307.59</v>
      </c>
      <c r="I175" s="2">
        <v>169271.95</v>
      </c>
      <c r="J175">
        <v>30</v>
      </c>
      <c r="K175">
        <v>3</v>
      </c>
      <c r="L175">
        <v>37</v>
      </c>
      <c r="M175">
        <v>3</v>
      </c>
      <c r="N175">
        <v>18</v>
      </c>
      <c r="O175" s="2">
        <v>72011.94</v>
      </c>
      <c r="P175" s="2">
        <v>102.43</v>
      </c>
      <c r="Q175" s="2">
        <v>113.89</v>
      </c>
    </row>
    <row r="176" spans="1:17" x14ac:dyDescent="0.45">
      <c r="A176" s="1">
        <v>45870</v>
      </c>
      <c r="B176">
        <v>2025</v>
      </c>
      <c r="C176">
        <v>11</v>
      </c>
      <c r="D176" t="s">
        <v>22</v>
      </c>
      <c r="E176" s="2">
        <v>7115000</v>
      </c>
      <c r="F176" s="2">
        <v>619753.27</v>
      </c>
      <c r="G176" s="2">
        <v>322053.46000000002</v>
      </c>
      <c r="H176" s="2">
        <v>239859.32</v>
      </c>
      <c r="I176" s="2">
        <v>42712.5</v>
      </c>
      <c r="J176">
        <v>32</v>
      </c>
      <c r="K176">
        <v>4</v>
      </c>
      <c r="L176">
        <v>39</v>
      </c>
      <c r="M176">
        <v>3</v>
      </c>
      <c r="N176">
        <v>21</v>
      </c>
      <c r="O176" s="2">
        <v>54710.87</v>
      </c>
      <c r="P176" s="2">
        <v>115.16</v>
      </c>
      <c r="Q176" s="2">
        <v>117.42</v>
      </c>
    </row>
    <row r="177" spans="1:17" x14ac:dyDescent="0.45">
      <c r="A177" s="1">
        <v>45292</v>
      </c>
      <c r="B177">
        <v>2024</v>
      </c>
      <c r="C177">
        <v>4</v>
      </c>
      <c r="D177" t="s">
        <v>23</v>
      </c>
      <c r="E177" s="2">
        <v>21066000</v>
      </c>
      <c r="F177" s="2">
        <v>1519835.05</v>
      </c>
      <c r="G177" s="2">
        <v>811307.53</v>
      </c>
      <c r="H177" s="2">
        <v>634553.86</v>
      </c>
      <c r="I177" s="2">
        <v>83297.19</v>
      </c>
      <c r="J177">
        <v>97</v>
      </c>
      <c r="K177">
        <v>6</v>
      </c>
      <c r="L177">
        <v>382</v>
      </c>
      <c r="M177">
        <v>4</v>
      </c>
      <c r="N177">
        <v>24</v>
      </c>
      <c r="O177" s="2">
        <v>261224.79</v>
      </c>
      <c r="P177" s="2">
        <v>98.27</v>
      </c>
      <c r="Q177" s="2">
        <v>111.05</v>
      </c>
    </row>
    <row r="178" spans="1:17" x14ac:dyDescent="0.45">
      <c r="A178" s="1">
        <v>45597</v>
      </c>
      <c r="B178">
        <v>2025</v>
      </c>
      <c r="C178">
        <v>2</v>
      </c>
      <c r="D178" t="s">
        <v>18</v>
      </c>
      <c r="E178" s="2">
        <v>4016000</v>
      </c>
      <c r="F178" s="2">
        <v>366879.22</v>
      </c>
      <c r="G178" s="2">
        <v>304577.3</v>
      </c>
      <c r="H178" s="2">
        <v>49380.11</v>
      </c>
      <c r="I178" s="2">
        <v>8080.11</v>
      </c>
      <c r="J178">
        <v>28</v>
      </c>
      <c r="K178">
        <v>3</v>
      </c>
      <c r="L178">
        <v>63</v>
      </c>
      <c r="M178">
        <v>2</v>
      </c>
      <c r="N178">
        <v>14</v>
      </c>
      <c r="O178" s="2">
        <v>16672.98</v>
      </c>
      <c r="P178" s="2">
        <v>103.62</v>
      </c>
      <c r="Q178" s="2">
        <v>114.34</v>
      </c>
    </row>
    <row r="179" spans="1:17" x14ac:dyDescent="0.45">
      <c r="A179" s="1">
        <v>44470</v>
      </c>
      <c r="B179">
        <v>2022</v>
      </c>
      <c r="C179">
        <v>1</v>
      </c>
      <c r="D179" t="s">
        <v>28</v>
      </c>
      <c r="E179" s="2">
        <v>22770000</v>
      </c>
      <c r="F179" s="2">
        <v>1855877.17</v>
      </c>
      <c r="G179" s="2">
        <v>1501302.38</v>
      </c>
      <c r="H179" s="2">
        <v>348095.44</v>
      </c>
      <c r="I179" s="2">
        <v>29133.06</v>
      </c>
      <c r="J179">
        <v>172</v>
      </c>
      <c r="K179">
        <v>20</v>
      </c>
      <c r="M179">
        <v>9</v>
      </c>
      <c r="N179">
        <v>39</v>
      </c>
      <c r="O179" s="2">
        <v>569024.75</v>
      </c>
      <c r="P179" s="2">
        <v>111.67</v>
      </c>
      <c r="Q179" s="2">
        <v>103.17</v>
      </c>
    </row>
    <row r="180" spans="1:17" x14ac:dyDescent="0.45">
      <c r="A180" s="1">
        <v>45231</v>
      </c>
      <c r="B180">
        <v>2024</v>
      </c>
      <c r="C180">
        <v>2</v>
      </c>
      <c r="D180" t="s">
        <v>25</v>
      </c>
      <c r="E180" s="2">
        <v>4657000</v>
      </c>
      <c r="F180" s="2">
        <v>389092.75</v>
      </c>
      <c r="G180" s="2">
        <v>320483.83</v>
      </c>
      <c r="H180" s="2">
        <v>65737.19</v>
      </c>
      <c r="I180" s="2">
        <v>7943.49</v>
      </c>
      <c r="J180">
        <v>33</v>
      </c>
      <c r="K180">
        <v>2</v>
      </c>
      <c r="L180">
        <v>45</v>
      </c>
      <c r="M180">
        <v>2</v>
      </c>
      <c r="N180">
        <v>10</v>
      </c>
      <c r="O180" s="2">
        <v>23139.99</v>
      </c>
      <c r="P180" s="2">
        <v>100</v>
      </c>
      <c r="Q180" s="2">
        <v>109.94</v>
      </c>
    </row>
    <row r="181" spans="1:17" x14ac:dyDescent="0.45">
      <c r="A181" s="1">
        <v>44287</v>
      </c>
      <c r="B181">
        <v>2021</v>
      </c>
      <c r="C181">
        <v>7</v>
      </c>
      <c r="D181" t="s">
        <v>17</v>
      </c>
      <c r="E181" s="2">
        <v>7300000</v>
      </c>
      <c r="F181" s="2">
        <v>606623.18000000005</v>
      </c>
      <c r="G181" s="2">
        <v>300343.43</v>
      </c>
      <c r="H181" s="2">
        <v>273026.71999999997</v>
      </c>
      <c r="I181" s="2">
        <v>20101.32</v>
      </c>
      <c r="J181">
        <v>43</v>
      </c>
      <c r="L181">
        <v>11</v>
      </c>
      <c r="M181">
        <v>4</v>
      </c>
      <c r="N181">
        <v>11</v>
      </c>
      <c r="O181" s="2">
        <v>83371.03</v>
      </c>
      <c r="P181" s="2">
        <v>105.29</v>
      </c>
      <c r="Q181" s="2">
        <v>100.74</v>
      </c>
    </row>
    <row r="182" spans="1:17" x14ac:dyDescent="0.45">
      <c r="A182" s="1">
        <v>44228</v>
      </c>
      <c r="B182">
        <v>2021</v>
      </c>
      <c r="C182">
        <v>5</v>
      </c>
      <c r="D182" t="s">
        <v>27</v>
      </c>
      <c r="E182" s="2">
        <v>25000000</v>
      </c>
      <c r="F182" s="2">
        <v>1940087.19</v>
      </c>
      <c r="G182" s="2">
        <v>1565557.42</v>
      </c>
      <c r="H182" s="2">
        <v>392284.39</v>
      </c>
      <c r="I182" s="2">
        <v>24036.09</v>
      </c>
      <c r="J182">
        <v>203</v>
      </c>
      <c r="K182">
        <v>14</v>
      </c>
      <c r="L182">
        <v>599</v>
      </c>
      <c r="M182">
        <v>3</v>
      </c>
      <c r="N182">
        <v>26</v>
      </c>
      <c r="O182" s="2">
        <v>240186.11</v>
      </c>
      <c r="P182" s="2">
        <v>100.17</v>
      </c>
      <c r="Q182" s="2">
        <v>101.39</v>
      </c>
    </row>
    <row r="183" spans="1:17" x14ac:dyDescent="0.45">
      <c r="A183" s="1">
        <v>44927</v>
      </c>
      <c r="B183">
        <v>2023</v>
      </c>
      <c r="C183">
        <v>4</v>
      </c>
      <c r="D183" t="s">
        <v>24</v>
      </c>
      <c r="E183" s="2">
        <v>14462000</v>
      </c>
      <c r="F183" s="2">
        <v>1010618.03</v>
      </c>
      <c r="G183" s="2">
        <v>579497.17000000004</v>
      </c>
      <c r="H183" s="2">
        <v>442122.91</v>
      </c>
      <c r="I183" s="2">
        <v>36025.870000000003</v>
      </c>
      <c r="J183">
        <v>79</v>
      </c>
      <c r="K183">
        <v>2</v>
      </c>
      <c r="L183">
        <v>88</v>
      </c>
      <c r="M183">
        <v>3</v>
      </c>
      <c r="N183">
        <v>22</v>
      </c>
      <c r="O183" s="2">
        <v>117352.39</v>
      </c>
      <c r="P183" s="2">
        <v>110.93</v>
      </c>
      <c r="Q183" s="2">
        <v>107.13</v>
      </c>
    </row>
    <row r="184" spans="1:17" x14ac:dyDescent="0.45">
      <c r="A184" s="1">
        <v>45352</v>
      </c>
      <c r="B184">
        <v>2024</v>
      </c>
      <c r="C184">
        <v>6</v>
      </c>
      <c r="D184" t="s">
        <v>19</v>
      </c>
      <c r="E184" s="2">
        <v>5322000</v>
      </c>
      <c r="F184" s="2">
        <v>441679.56</v>
      </c>
      <c r="G184" s="2">
        <v>367886.82</v>
      </c>
      <c r="H184" s="2">
        <v>59940.55</v>
      </c>
      <c r="I184" s="2">
        <v>8640.3799999999992</v>
      </c>
      <c r="J184">
        <v>36</v>
      </c>
      <c r="K184">
        <v>2</v>
      </c>
      <c r="L184">
        <v>60</v>
      </c>
      <c r="M184">
        <v>2</v>
      </c>
      <c r="N184">
        <v>11</v>
      </c>
      <c r="O184" s="2">
        <v>28015.85</v>
      </c>
      <c r="P184" s="2">
        <v>101.27</v>
      </c>
      <c r="Q184" s="2">
        <v>112.8</v>
      </c>
    </row>
    <row r="185" spans="1:17" x14ac:dyDescent="0.45">
      <c r="A185" s="1">
        <v>44348</v>
      </c>
      <c r="B185">
        <v>2021</v>
      </c>
      <c r="C185">
        <v>9</v>
      </c>
      <c r="D185" t="s">
        <v>19</v>
      </c>
      <c r="E185" s="2">
        <v>4800000</v>
      </c>
      <c r="F185" s="2">
        <v>393812.58</v>
      </c>
      <c r="G185" s="2">
        <v>334998.38</v>
      </c>
      <c r="H185" s="2">
        <v>60390.74</v>
      </c>
      <c r="I185" s="2">
        <v>10791.63</v>
      </c>
      <c r="J185">
        <v>36</v>
      </c>
      <c r="K185">
        <v>1</v>
      </c>
      <c r="L185">
        <v>41</v>
      </c>
      <c r="M185">
        <v>2</v>
      </c>
      <c r="N185">
        <v>14</v>
      </c>
      <c r="O185" s="2">
        <v>19788.240000000002</v>
      </c>
      <c r="P185" s="2">
        <v>105.44</v>
      </c>
      <c r="Q185" s="2">
        <v>101.53</v>
      </c>
    </row>
    <row r="186" spans="1:17" x14ac:dyDescent="0.45">
      <c r="A186" s="1">
        <v>45992</v>
      </c>
      <c r="B186">
        <v>2026</v>
      </c>
      <c r="C186">
        <v>3</v>
      </c>
      <c r="D186" t="s">
        <v>24</v>
      </c>
      <c r="E186" s="2">
        <v>16034000</v>
      </c>
      <c r="F186" s="2">
        <v>1418424.56</v>
      </c>
      <c r="G186" s="2">
        <v>720818.15</v>
      </c>
      <c r="H186" s="2">
        <v>657131.53</v>
      </c>
      <c r="I186" s="2">
        <v>49838.55</v>
      </c>
      <c r="J186">
        <v>83</v>
      </c>
      <c r="K186">
        <v>7</v>
      </c>
      <c r="L186">
        <v>252</v>
      </c>
      <c r="M186">
        <v>7</v>
      </c>
      <c r="N186">
        <v>22</v>
      </c>
      <c r="O186" s="2">
        <v>233856.99</v>
      </c>
      <c r="P186" s="2">
        <v>119.14</v>
      </c>
      <c r="Q186" s="2">
        <v>119.56</v>
      </c>
    </row>
    <row r="187" spans="1:17" x14ac:dyDescent="0.45">
      <c r="A187" s="1">
        <v>45658</v>
      </c>
      <c r="B187">
        <v>2025</v>
      </c>
      <c r="C187">
        <v>4</v>
      </c>
      <c r="D187" t="s">
        <v>17</v>
      </c>
      <c r="E187" s="2">
        <v>8377000</v>
      </c>
      <c r="F187" s="2">
        <v>631221.16</v>
      </c>
      <c r="G187" s="2">
        <v>379490.57</v>
      </c>
      <c r="H187" s="2">
        <v>202536.09</v>
      </c>
      <c r="I187" s="2">
        <v>47965.85</v>
      </c>
      <c r="J187">
        <v>46</v>
      </c>
      <c r="K187">
        <v>0</v>
      </c>
      <c r="L187">
        <v>52</v>
      </c>
      <c r="M187">
        <v>1</v>
      </c>
      <c r="N187">
        <v>19</v>
      </c>
      <c r="O187" s="2">
        <v>45905.39</v>
      </c>
      <c r="P187" s="2">
        <v>107.14</v>
      </c>
      <c r="Q187" s="2">
        <v>114.77</v>
      </c>
    </row>
    <row r="188" spans="1:17" x14ac:dyDescent="0.45">
      <c r="A188" s="1">
        <v>44835</v>
      </c>
      <c r="B188">
        <v>2023</v>
      </c>
      <c r="C188">
        <v>1</v>
      </c>
      <c r="D188" t="s">
        <v>23</v>
      </c>
      <c r="E188" s="2">
        <v>20353000</v>
      </c>
      <c r="F188" s="2">
        <v>1980300.76</v>
      </c>
      <c r="G188" s="2">
        <v>752767.95</v>
      </c>
      <c r="H188" s="2">
        <v>910229.36</v>
      </c>
      <c r="I188" s="2">
        <v>420917.34</v>
      </c>
      <c r="J188">
        <v>94</v>
      </c>
      <c r="K188">
        <v>7</v>
      </c>
      <c r="L188">
        <v>474</v>
      </c>
      <c r="M188">
        <v>10</v>
      </c>
      <c r="N188">
        <v>34</v>
      </c>
      <c r="O188" s="2">
        <v>433155.8</v>
      </c>
      <c r="P188" s="2">
        <v>104.74</v>
      </c>
      <c r="Q188" s="2">
        <v>106.61</v>
      </c>
    </row>
    <row r="189" spans="1:17" x14ac:dyDescent="0.45">
      <c r="A189" s="1">
        <v>44866</v>
      </c>
      <c r="B189">
        <v>2023</v>
      </c>
      <c r="C189">
        <v>2</v>
      </c>
      <c r="D189" t="s">
        <v>17</v>
      </c>
      <c r="E189" s="2">
        <v>7820000</v>
      </c>
      <c r="F189" s="2">
        <v>649448.36</v>
      </c>
      <c r="G189" s="2">
        <v>353169.24</v>
      </c>
      <c r="H189" s="2">
        <v>287313.3</v>
      </c>
      <c r="I189" s="2">
        <v>20550.72</v>
      </c>
      <c r="J189">
        <v>45</v>
      </c>
      <c r="K189">
        <v>5</v>
      </c>
      <c r="L189">
        <v>87</v>
      </c>
      <c r="M189">
        <v>1</v>
      </c>
      <c r="N189">
        <v>12</v>
      </c>
      <c r="O189" s="2">
        <v>21378.76</v>
      </c>
      <c r="P189" s="2">
        <v>109.47</v>
      </c>
      <c r="Q189" s="2">
        <v>107.94</v>
      </c>
    </row>
    <row r="190" spans="1:17" x14ac:dyDescent="0.45">
      <c r="A190" s="1">
        <v>44228</v>
      </c>
      <c r="B190">
        <v>2021</v>
      </c>
      <c r="C190">
        <v>5</v>
      </c>
      <c r="D190" t="s">
        <v>22</v>
      </c>
      <c r="E190" s="2">
        <v>6200000</v>
      </c>
      <c r="F190" s="2">
        <v>602032.63</v>
      </c>
      <c r="G190" s="2">
        <v>263503.13</v>
      </c>
      <c r="H190" s="2">
        <v>206101.73</v>
      </c>
      <c r="I190" s="2">
        <v>124218.02</v>
      </c>
      <c r="J190">
        <v>30</v>
      </c>
      <c r="K190">
        <v>3</v>
      </c>
      <c r="L190">
        <v>37</v>
      </c>
      <c r="M190">
        <v>3</v>
      </c>
      <c r="N190">
        <v>14</v>
      </c>
      <c r="O190" s="2">
        <v>37245.97</v>
      </c>
      <c r="P190" s="2">
        <v>98.33</v>
      </c>
      <c r="Q190" s="2">
        <v>101.08</v>
      </c>
    </row>
    <row r="191" spans="1:17" x14ac:dyDescent="0.45">
      <c r="A191" s="1">
        <v>44682</v>
      </c>
      <c r="B191">
        <v>2022</v>
      </c>
      <c r="C191">
        <v>8</v>
      </c>
      <c r="D191" t="s">
        <v>17</v>
      </c>
      <c r="E191" s="2">
        <v>7555000</v>
      </c>
      <c r="F191" s="2">
        <v>593736.56000000006</v>
      </c>
      <c r="G191" s="2">
        <v>332720.17</v>
      </c>
      <c r="H191" s="2">
        <v>241689.88</v>
      </c>
      <c r="I191" s="2">
        <v>34742.58</v>
      </c>
      <c r="J191">
        <v>45</v>
      </c>
      <c r="K191">
        <v>2</v>
      </c>
      <c r="L191">
        <v>37</v>
      </c>
      <c r="M191">
        <v>1</v>
      </c>
      <c r="N191">
        <v>21</v>
      </c>
      <c r="O191" s="2">
        <v>39985.67</v>
      </c>
      <c r="P191" s="2">
        <v>111.9</v>
      </c>
      <c r="Q191" s="2">
        <v>105.51</v>
      </c>
    </row>
    <row r="192" spans="1:17" x14ac:dyDescent="0.45">
      <c r="A192" s="1">
        <v>44743</v>
      </c>
      <c r="B192">
        <v>2022</v>
      </c>
      <c r="C192">
        <v>10</v>
      </c>
      <c r="D192" t="s">
        <v>23</v>
      </c>
      <c r="E192" s="2">
        <v>19665000</v>
      </c>
      <c r="F192" s="2">
        <v>1446201.72</v>
      </c>
      <c r="G192" s="2">
        <v>729721.87</v>
      </c>
      <c r="H192" s="2">
        <v>611735.89</v>
      </c>
      <c r="I192" s="2">
        <v>33395.39</v>
      </c>
      <c r="J192">
        <v>95</v>
      </c>
      <c r="K192">
        <v>8</v>
      </c>
      <c r="L192">
        <v>389</v>
      </c>
      <c r="M192">
        <v>5</v>
      </c>
      <c r="N192">
        <v>21</v>
      </c>
      <c r="O192" s="2">
        <v>265752.46999999997</v>
      </c>
      <c r="P192" s="2">
        <v>111.16</v>
      </c>
      <c r="Q192" s="2">
        <v>105.74</v>
      </c>
    </row>
    <row r="193" spans="1:17" x14ac:dyDescent="0.45">
      <c r="A193" s="1">
        <v>45597</v>
      </c>
      <c r="B193">
        <v>2025</v>
      </c>
      <c r="C193">
        <v>2</v>
      </c>
      <c r="D193" t="s">
        <v>24</v>
      </c>
      <c r="E193" s="2">
        <v>15492000</v>
      </c>
      <c r="F193" s="2">
        <v>1206732.3899999999</v>
      </c>
      <c r="G193" s="2">
        <v>642356.84</v>
      </c>
      <c r="H193" s="2">
        <v>577676.89</v>
      </c>
      <c r="I193" s="2">
        <v>49886.03</v>
      </c>
      <c r="J193">
        <v>79</v>
      </c>
      <c r="K193">
        <v>4</v>
      </c>
      <c r="L193">
        <v>89</v>
      </c>
      <c r="M193">
        <v>5</v>
      </c>
      <c r="N193">
        <v>23</v>
      </c>
      <c r="O193" s="2">
        <v>170829.88</v>
      </c>
      <c r="P193" s="2">
        <v>106.7</v>
      </c>
      <c r="Q193" s="2">
        <v>115.37</v>
      </c>
    </row>
    <row r="194" spans="1:17" x14ac:dyDescent="0.45">
      <c r="A194" s="1">
        <v>45870</v>
      </c>
      <c r="B194">
        <v>2025</v>
      </c>
      <c r="C194">
        <v>11</v>
      </c>
      <c r="D194" t="s">
        <v>17</v>
      </c>
      <c r="E194" s="2">
        <v>8377000</v>
      </c>
      <c r="F194" s="2">
        <v>646111.49</v>
      </c>
      <c r="G194" s="2">
        <v>352454.73</v>
      </c>
      <c r="H194" s="2">
        <v>269761.57</v>
      </c>
      <c r="I194" s="2">
        <v>44977.34</v>
      </c>
      <c r="J194">
        <v>43</v>
      </c>
      <c r="K194">
        <v>7</v>
      </c>
      <c r="L194">
        <v>37</v>
      </c>
      <c r="M194">
        <v>3</v>
      </c>
      <c r="N194">
        <v>20</v>
      </c>
      <c r="O194" s="2">
        <v>84256.97</v>
      </c>
      <c r="P194" s="2">
        <v>115.5</v>
      </c>
      <c r="Q194" s="2">
        <v>118.63</v>
      </c>
    </row>
    <row r="195" spans="1:17" x14ac:dyDescent="0.45">
      <c r="A195" s="1">
        <v>44531</v>
      </c>
      <c r="B195">
        <v>2022</v>
      </c>
      <c r="C195">
        <v>3</v>
      </c>
      <c r="D195" t="s">
        <v>18</v>
      </c>
      <c r="E195" s="2">
        <v>3622000</v>
      </c>
      <c r="F195" s="2">
        <v>330351.73</v>
      </c>
      <c r="G195" s="2">
        <v>251753.58</v>
      </c>
      <c r="H195" s="2">
        <v>51013.3</v>
      </c>
      <c r="I195" s="2">
        <v>30676</v>
      </c>
      <c r="J195">
        <v>26</v>
      </c>
      <c r="K195">
        <v>6</v>
      </c>
      <c r="L195">
        <v>41</v>
      </c>
      <c r="M195">
        <v>0</v>
      </c>
      <c r="N195">
        <v>7</v>
      </c>
      <c r="O195" s="2">
        <v>4181.01</v>
      </c>
      <c r="P195" s="2">
        <v>111.86</v>
      </c>
      <c r="Q195" s="2">
        <v>103.64</v>
      </c>
    </row>
    <row r="196" spans="1:17" x14ac:dyDescent="0.45">
      <c r="A196" s="1">
        <v>44958</v>
      </c>
      <c r="B196">
        <v>2023</v>
      </c>
      <c r="C196">
        <v>5</v>
      </c>
      <c r="D196" t="s">
        <v>16</v>
      </c>
      <c r="E196" s="2">
        <v>6642000</v>
      </c>
      <c r="F196" s="2">
        <v>506840.22</v>
      </c>
      <c r="G196" s="2">
        <v>277191.69</v>
      </c>
      <c r="H196" s="2">
        <v>195046.96</v>
      </c>
      <c r="I196" s="2">
        <v>36054.03</v>
      </c>
      <c r="J196">
        <v>31</v>
      </c>
      <c r="K196">
        <v>3</v>
      </c>
      <c r="L196">
        <v>53</v>
      </c>
      <c r="M196">
        <v>4</v>
      </c>
      <c r="N196">
        <v>28</v>
      </c>
      <c r="O196" s="2">
        <v>56943.83</v>
      </c>
      <c r="P196" s="2">
        <v>106.8</v>
      </c>
      <c r="Q196" s="2">
        <v>107.8</v>
      </c>
    </row>
    <row r="197" spans="1:17" x14ac:dyDescent="0.45">
      <c r="A197" s="1">
        <v>44621</v>
      </c>
      <c r="B197">
        <v>2022</v>
      </c>
      <c r="C197">
        <v>6</v>
      </c>
      <c r="D197" t="s">
        <v>17</v>
      </c>
      <c r="E197" s="2">
        <v>7555000</v>
      </c>
      <c r="F197" s="2">
        <v>578548.59</v>
      </c>
      <c r="G197" s="2">
        <v>339682.44</v>
      </c>
      <c r="H197" s="2">
        <v>240255.5</v>
      </c>
      <c r="I197" s="2">
        <v>26905.119999999999</v>
      </c>
      <c r="J197">
        <v>45</v>
      </c>
      <c r="K197">
        <v>3</v>
      </c>
      <c r="L197">
        <v>99</v>
      </c>
      <c r="M197">
        <v>0</v>
      </c>
      <c r="N197">
        <v>13</v>
      </c>
      <c r="O197" s="2">
        <v>13261.24</v>
      </c>
      <c r="P197" s="2">
        <v>109.56</v>
      </c>
      <c r="Q197" s="2">
        <v>104.57</v>
      </c>
    </row>
    <row r="198" spans="1:17" x14ac:dyDescent="0.45">
      <c r="A198" s="1">
        <v>45627</v>
      </c>
      <c r="B198">
        <v>2025</v>
      </c>
      <c r="C198">
        <v>3</v>
      </c>
      <c r="D198" t="s">
        <v>25</v>
      </c>
      <c r="E198" s="2">
        <v>4820000</v>
      </c>
      <c r="F198" s="2">
        <v>429640.37</v>
      </c>
      <c r="G198" s="2">
        <v>334578.15999999997</v>
      </c>
      <c r="H198" s="2">
        <v>86528.71</v>
      </c>
      <c r="I198" s="2">
        <v>7779.84</v>
      </c>
      <c r="J198">
        <v>33</v>
      </c>
      <c r="K198">
        <v>0</v>
      </c>
      <c r="L198">
        <v>19</v>
      </c>
      <c r="M198">
        <v>2</v>
      </c>
      <c r="N198">
        <v>14</v>
      </c>
      <c r="O198" s="2">
        <v>31718.35</v>
      </c>
      <c r="P198" s="2">
        <v>105.2</v>
      </c>
      <c r="Q198" s="2">
        <v>114.47</v>
      </c>
    </row>
    <row r="199" spans="1:17" x14ac:dyDescent="0.45">
      <c r="A199" s="1">
        <v>45261</v>
      </c>
      <c r="B199">
        <v>2024</v>
      </c>
      <c r="C199">
        <v>3</v>
      </c>
      <c r="D199" t="s">
        <v>19</v>
      </c>
      <c r="E199" s="2">
        <v>5322000</v>
      </c>
      <c r="F199" s="2">
        <v>489170.32</v>
      </c>
      <c r="G199" s="2">
        <v>386082.78</v>
      </c>
      <c r="H199" s="2">
        <v>82243.55</v>
      </c>
      <c r="I199" s="2">
        <v>9139.09</v>
      </c>
      <c r="J199">
        <v>37</v>
      </c>
      <c r="K199">
        <v>3</v>
      </c>
      <c r="L199">
        <v>44</v>
      </c>
      <c r="M199">
        <v>0</v>
      </c>
      <c r="N199">
        <v>15</v>
      </c>
      <c r="O199" s="2">
        <v>10164.129999999999</v>
      </c>
      <c r="P199" s="2">
        <v>99.6</v>
      </c>
      <c r="Q199" s="2">
        <v>110.13</v>
      </c>
    </row>
    <row r="200" spans="1:17" x14ac:dyDescent="0.45">
      <c r="A200" s="1">
        <v>45931</v>
      </c>
      <c r="B200">
        <v>2026</v>
      </c>
      <c r="C200">
        <v>1</v>
      </c>
      <c r="D200" t="s">
        <v>18</v>
      </c>
      <c r="E200" s="2">
        <v>4157000</v>
      </c>
      <c r="F200" s="2">
        <v>382435.52</v>
      </c>
      <c r="G200" s="2">
        <v>323139.84000000003</v>
      </c>
      <c r="H200" s="2">
        <v>52214.12</v>
      </c>
      <c r="I200" s="2">
        <v>3639.91</v>
      </c>
      <c r="J200">
        <v>28</v>
      </c>
      <c r="K200">
        <v>1</v>
      </c>
      <c r="L200">
        <v>91</v>
      </c>
      <c r="M200">
        <v>0</v>
      </c>
      <c r="N200">
        <v>9</v>
      </c>
      <c r="O200" s="2">
        <v>6463.79</v>
      </c>
      <c r="P200" s="2">
        <v>117.39</v>
      </c>
      <c r="Q200" s="2">
        <v>117.91</v>
      </c>
    </row>
    <row r="201" spans="1:17" x14ac:dyDescent="0.45">
      <c r="A201" s="1">
        <v>45627</v>
      </c>
      <c r="B201">
        <v>2025</v>
      </c>
      <c r="C201">
        <v>3</v>
      </c>
      <c r="D201" t="s">
        <v>19</v>
      </c>
      <c r="E201" s="2">
        <v>5508000</v>
      </c>
      <c r="F201" s="2">
        <v>489009.15</v>
      </c>
      <c r="G201" s="2">
        <v>397403.81</v>
      </c>
      <c r="H201" s="2">
        <v>85632.79</v>
      </c>
      <c r="I201" s="2">
        <v>9388.16</v>
      </c>
      <c r="J201">
        <v>38</v>
      </c>
      <c r="K201">
        <v>9</v>
      </c>
      <c r="L201">
        <v>64</v>
      </c>
      <c r="M201">
        <v>4</v>
      </c>
      <c r="N201">
        <v>11</v>
      </c>
      <c r="O201" s="2">
        <v>48878.64</v>
      </c>
      <c r="P201" s="2">
        <v>108.72</v>
      </c>
      <c r="Q201" s="2">
        <v>114.92</v>
      </c>
    </row>
    <row r="202" spans="1:17" x14ac:dyDescent="0.45">
      <c r="A202" s="1">
        <v>44682</v>
      </c>
      <c r="B202">
        <v>2022</v>
      </c>
      <c r="C202">
        <v>8</v>
      </c>
      <c r="D202" t="s">
        <v>28</v>
      </c>
      <c r="E202" s="2">
        <v>22770000</v>
      </c>
      <c r="F202" s="2">
        <v>1885794.92</v>
      </c>
      <c r="G202" s="2">
        <v>1449302.51</v>
      </c>
      <c r="H202" s="2">
        <v>368165.36</v>
      </c>
      <c r="I202" s="2">
        <v>25010.15</v>
      </c>
      <c r="J202">
        <v>172</v>
      </c>
      <c r="K202">
        <v>13</v>
      </c>
      <c r="L202">
        <v>453</v>
      </c>
      <c r="M202">
        <v>9</v>
      </c>
      <c r="N202">
        <v>30</v>
      </c>
      <c r="O202" s="2">
        <v>588130.12</v>
      </c>
      <c r="P202" s="2">
        <v>108.78</v>
      </c>
      <c r="Q202" s="2">
        <v>104.63</v>
      </c>
    </row>
    <row r="203" spans="1:17" x14ac:dyDescent="0.45">
      <c r="A203" s="1">
        <v>44682</v>
      </c>
      <c r="B203">
        <v>2022</v>
      </c>
      <c r="C203">
        <v>8</v>
      </c>
      <c r="D203" t="s">
        <v>25</v>
      </c>
      <c r="E203" s="2">
        <v>4347000</v>
      </c>
      <c r="F203" s="2">
        <v>387356.63</v>
      </c>
      <c r="G203" s="2">
        <v>314100.19</v>
      </c>
      <c r="H203" s="2">
        <v>58041.43</v>
      </c>
      <c r="I203" s="2">
        <v>18442.400000000001</v>
      </c>
      <c r="J203">
        <v>33</v>
      </c>
      <c r="K203">
        <v>1</v>
      </c>
      <c r="L203">
        <v>54</v>
      </c>
      <c r="M203">
        <v>2</v>
      </c>
      <c r="N203">
        <v>14</v>
      </c>
      <c r="O203" s="2">
        <v>24948.36</v>
      </c>
      <c r="P203" s="2">
        <v>109.77</v>
      </c>
      <c r="Q203" s="2">
        <v>105.53</v>
      </c>
    </row>
    <row r="204" spans="1:17" x14ac:dyDescent="0.45">
      <c r="A204" s="1">
        <v>45200</v>
      </c>
      <c r="B204">
        <v>2024</v>
      </c>
      <c r="C204">
        <v>1</v>
      </c>
      <c r="D204" t="s">
        <v>18</v>
      </c>
      <c r="E204" s="2">
        <v>3881000</v>
      </c>
      <c r="F204" s="2">
        <v>329548.95</v>
      </c>
      <c r="G204" s="2">
        <v>277878.34999999998</v>
      </c>
      <c r="H204" s="2">
        <v>45853.31</v>
      </c>
      <c r="I204" s="2">
        <v>4579.46</v>
      </c>
      <c r="J204">
        <v>28</v>
      </c>
      <c r="K204">
        <v>0</v>
      </c>
      <c r="L204">
        <v>13</v>
      </c>
      <c r="M204">
        <v>0</v>
      </c>
      <c r="N204">
        <v>6</v>
      </c>
      <c r="O204" s="2">
        <v>2932.58</v>
      </c>
      <c r="P204" s="2">
        <v>102.2</v>
      </c>
      <c r="Q204" s="2">
        <v>109.9</v>
      </c>
    </row>
    <row r="205" spans="1:17" x14ac:dyDescent="0.45">
      <c r="A205" s="1">
        <v>45566</v>
      </c>
      <c r="B205">
        <v>2025</v>
      </c>
      <c r="C205">
        <v>1</v>
      </c>
      <c r="D205" t="s">
        <v>25</v>
      </c>
      <c r="E205" s="2">
        <v>4820000</v>
      </c>
      <c r="F205" s="2">
        <v>423856.57</v>
      </c>
      <c r="G205" s="2">
        <v>341172.2</v>
      </c>
      <c r="H205" s="2">
        <v>69863.87</v>
      </c>
      <c r="I205" s="2">
        <v>5408.01</v>
      </c>
      <c r="J205">
        <v>33</v>
      </c>
      <c r="K205">
        <v>4</v>
      </c>
      <c r="L205">
        <v>97</v>
      </c>
      <c r="M205">
        <v>1</v>
      </c>
      <c r="N205">
        <v>12</v>
      </c>
      <c r="O205" s="2">
        <v>22851.17</v>
      </c>
      <c r="P205" s="2">
        <v>103.97</v>
      </c>
      <c r="Q205" s="2">
        <v>114.52</v>
      </c>
    </row>
    <row r="206" spans="1:17" x14ac:dyDescent="0.45">
      <c r="A206" s="1">
        <v>45839</v>
      </c>
      <c r="B206">
        <v>2025</v>
      </c>
      <c r="C206">
        <v>10</v>
      </c>
      <c r="D206" t="s">
        <v>24</v>
      </c>
      <c r="E206" s="2">
        <v>15492000</v>
      </c>
      <c r="F206" s="2">
        <v>1322073.3400000001</v>
      </c>
      <c r="G206" s="2">
        <v>653634.78</v>
      </c>
      <c r="H206" s="2">
        <v>464518.93</v>
      </c>
      <c r="I206" s="2">
        <v>269167.12</v>
      </c>
      <c r="J206">
        <v>82</v>
      </c>
      <c r="K206">
        <v>5</v>
      </c>
      <c r="L206">
        <v>116</v>
      </c>
      <c r="M206">
        <v>5</v>
      </c>
      <c r="N206">
        <v>24</v>
      </c>
      <c r="O206" s="2">
        <v>255358.71</v>
      </c>
      <c r="P206" s="2">
        <v>114.95</v>
      </c>
      <c r="Q206" s="2">
        <v>117.32</v>
      </c>
    </row>
    <row r="207" spans="1:17" x14ac:dyDescent="0.45">
      <c r="A207" s="1">
        <v>45839</v>
      </c>
      <c r="B207">
        <v>2025</v>
      </c>
      <c r="C207">
        <v>10</v>
      </c>
      <c r="D207" t="s">
        <v>25</v>
      </c>
      <c r="E207" s="2">
        <v>4820000</v>
      </c>
      <c r="F207" s="2">
        <v>419952.66</v>
      </c>
      <c r="G207" s="2">
        <v>343126.98</v>
      </c>
      <c r="H207" s="2">
        <v>60935.97</v>
      </c>
      <c r="I207" s="2">
        <v>10798.26</v>
      </c>
      <c r="J207">
        <v>34</v>
      </c>
      <c r="K207">
        <v>4</v>
      </c>
      <c r="L207">
        <v>26</v>
      </c>
      <c r="M207">
        <v>0</v>
      </c>
      <c r="N207">
        <v>11</v>
      </c>
      <c r="O207" s="2">
        <v>8541.18</v>
      </c>
      <c r="P207" s="2">
        <v>117.5</v>
      </c>
      <c r="Q207" s="2">
        <v>117.68</v>
      </c>
    </row>
    <row r="208" spans="1:17" x14ac:dyDescent="0.45">
      <c r="A208" s="1">
        <v>44805</v>
      </c>
      <c r="B208">
        <v>2022</v>
      </c>
      <c r="C208">
        <v>12</v>
      </c>
      <c r="D208" t="s">
        <v>21</v>
      </c>
      <c r="E208" s="2">
        <v>8280000</v>
      </c>
      <c r="F208" s="2">
        <v>714554.92</v>
      </c>
      <c r="G208" s="2">
        <v>452965.51</v>
      </c>
      <c r="H208" s="2">
        <v>217932.18</v>
      </c>
      <c r="I208" s="2">
        <v>29149.599999999999</v>
      </c>
      <c r="J208">
        <v>66</v>
      </c>
      <c r="K208">
        <v>4</v>
      </c>
      <c r="L208">
        <v>52</v>
      </c>
      <c r="M208">
        <v>2</v>
      </c>
      <c r="N208">
        <v>13</v>
      </c>
      <c r="O208" s="2">
        <v>41153.599999999999</v>
      </c>
      <c r="P208" s="2">
        <v>111.94</v>
      </c>
      <c r="Q208" s="2">
        <v>106.73</v>
      </c>
    </row>
    <row r="209" spans="1:17" x14ac:dyDescent="0.45">
      <c r="A209" s="1">
        <v>44531</v>
      </c>
      <c r="B209">
        <v>2022</v>
      </c>
      <c r="C209">
        <v>3</v>
      </c>
      <c r="D209" t="s">
        <v>25</v>
      </c>
      <c r="E209" s="2">
        <v>4347000</v>
      </c>
      <c r="F209" s="2">
        <v>427067.7</v>
      </c>
      <c r="G209" s="2">
        <v>298102.45</v>
      </c>
      <c r="H209" s="2">
        <v>77512.97</v>
      </c>
      <c r="I209" s="2">
        <v>49892.2</v>
      </c>
      <c r="J209">
        <v>32</v>
      </c>
      <c r="K209">
        <v>2</v>
      </c>
      <c r="L209">
        <v>61</v>
      </c>
      <c r="M209">
        <v>0</v>
      </c>
      <c r="N209">
        <v>7</v>
      </c>
      <c r="O209" s="2">
        <v>5273.41</v>
      </c>
      <c r="P209" s="2">
        <v>105.63</v>
      </c>
      <c r="Q209" s="2">
        <v>103.33</v>
      </c>
    </row>
    <row r="210" spans="1:17" x14ac:dyDescent="0.45">
      <c r="A210" s="1">
        <v>45627</v>
      </c>
      <c r="B210">
        <v>2025</v>
      </c>
      <c r="C210">
        <v>3</v>
      </c>
      <c r="D210" t="s">
        <v>18</v>
      </c>
      <c r="E210" s="2">
        <v>4016000</v>
      </c>
      <c r="F210" s="2">
        <v>360571.05</v>
      </c>
      <c r="G210" s="2">
        <v>306911.24</v>
      </c>
      <c r="H210" s="2">
        <v>52834.51</v>
      </c>
      <c r="I210" s="2">
        <v>5008.3999999999996</v>
      </c>
      <c r="J210">
        <v>28</v>
      </c>
      <c r="K210">
        <v>1</v>
      </c>
      <c r="L210">
        <v>45</v>
      </c>
      <c r="M210">
        <v>2</v>
      </c>
      <c r="N210">
        <v>12</v>
      </c>
      <c r="O210" s="2">
        <v>16699.689999999999</v>
      </c>
      <c r="P210" s="2">
        <v>108.85</v>
      </c>
      <c r="Q210" s="2">
        <v>115.91</v>
      </c>
    </row>
    <row r="211" spans="1:17" x14ac:dyDescent="0.45">
      <c r="A211" s="1">
        <v>45108</v>
      </c>
      <c r="B211">
        <v>2023</v>
      </c>
      <c r="C211">
        <v>10</v>
      </c>
      <c r="D211" t="s">
        <v>25</v>
      </c>
      <c r="E211" s="2">
        <v>4499000</v>
      </c>
      <c r="F211" s="2">
        <v>421659.05</v>
      </c>
      <c r="G211" s="2">
        <v>326684.12</v>
      </c>
      <c r="H211" s="2">
        <v>64044.97</v>
      </c>
      <c r="I211" s="2">
        <v>38474.44</v>
      </c>
      <c r="J211">
        <v>34</v>
      </c>
      <c r="K211">
        <v>4</v>
      </c>
      <c r="L211">
        <v>63</v>
      </c>
      <c r="M211">
        <v>0</v>
      </c>
      <c r="N211">
        <v>13</v>
      </c>
      <c r="O211" s="2">
        <v>8826.44</v>
      </c>
      <c r="P211" s="2">
        <v>104.72</v>
      </c>
      <c r="Q211" s="2">
        <v>109.82</v>
      </c>
    </row>
    <row r="212" spans="1:17" x14ac:dyDescent="0.45">
      <c r="A212" s="1">
        <v>44317</v>
      </c>
      <c r="B212">
        <v>2021</v>
      </c>
      <c r="C212">
        <v>8</v>
      </c>
      <c r="D212" t="s">
        <v>18</v>
      </c>
      <c r="E212" s="2">
        <v>3500000</v>
      </c>
      <c r="F212" s="2">
        <v>287446.48</v>
      </c>
      <c r="G212" s="2">
        <v>236934.25</v>
      </c>
      <c r="H212" s="2">
        <v>41190</v>
      </c>
      <c r="I212" s="2">
        <v>3708.81</v>
      </c>
      <c r="J212">
        <v>27</v>
      </c>
      <c r="K212">
        <v>3</v>
      </c>
      <c r="L212">
        <v>35</v>
      </c>
      <c r="M212">
        <v>2</v>
      </c>
      <c r="N212">
        <v>10</v>
      </c>
      <c r="O212" s="2">
        <v>17095.8</v>
      </c>
      <c r="P212" s="2">
        <v>103.06</v>
      </c>
      <c r="Q212" s="2">
        <v>99.63</v>
      </c>
    </row>
    <row r="213" spans="1:17" x14ac:dyDescent="0.45">
      <c r="A213" s="1">
        <v>45474</v>
      </c>
      <c r="B213">
        <v>2024</v>
      </c>
      <c r="C213">
        <v>10</v>
      </c>
      <c r="D213" t="s">
        <v>17</v>
      </c>
      <c r="E213" s="2">
        <v>8094000</v>
      </c>
      <c r="F213" s="2">
        <v>668317.22</v>
      </c>
      <c r="G213" s="2">
        <v>365356.19</v>
      </c>
      <c r="H213" s="2">
        <v>288121.27</v>
      </c>
      <c r="I213" s="2">
        <v>27765.95</v>
      </c>
      <c r="J213">
        <v>44</v>
      </c>
      <c r="K213">
        <v>6</v>
      </c>
      <c r="L213">
        <v>95</v>
      </c>
      <c r="M213">
        <v>3</v>
      </c>
      <c r="N213">
        <v>19</v>
      </c>
      <c r="O213" s="2">
        <v>78582.38</v>
      </c>
      <c r="P213" s="2">
        <v>101.73</v>
      </c>
      <c r="Q213" s="2">
        <v>113.5</v>
      </c>
    </row>
    <row r="214" spans="1:17" x14ac:dyDescent="0.45">
      <c r="A214" s="1">
        <v>44348</v>
      </c>
      <c r="B214">
        <v>2021</v>
      </c>
      <c r="C214">
        <v>9</v>
      </c>
      <c r="D214" t="s">
        <v>26</v>
      </c>
      <c r="E214" s="2">
        <v>8000000</v>
      </c>
      <c r="F214" s="2">
        <v>715950.73</v>
      </c>
      <c r="G214" s="2">
        <v>410497.28000000003</v>
      </c>
      <c r="H214" s="2">
        <v>223998.55</v>
      </c>
      <c r="I214" s="2">
        <v>34809.269999999997</v>
      </c>
      <c r="J214">
        <v>62</v>
      </c>
      <c r="K214">
        <v>6</v>
      </c>
      <c r="L214">
        <v>119</v>
      </c>
      <c r="M214">
        <v>2</v>
      </c>
      <c r="N214">
        <v>15</v>
      </c>
      <c r="O214" s="2">
        <v>38226.99</v>
      </c>
      <c r="P214" s="2">
        <v>106.63</v>
      </c>
      <c r="Q214" s="2">
        <v>101.8</v>
      </c>
    </row>
    <row r="215" spans="1:17" x14ac:dyDescent="0.45">
      <c r="A215" s="1">
        <v>45566</v>
      </c>
      <c r="B215">
        <v>2025</v>
      </c>
      <c r="C215">
        <v>1</v>
      </c>
      <c r="D215" t="s">
        <v>24</v>
      </c>
      <c r="E215" s="2">
        <v>15492000</v>
      </c>
      <c r="F215" s="2">
        <v>1264418</v>
      </c>
      <c r="G215" s="2">
        <v>639619.5</v>
      </c>
      <c r="H215" s="2">
        <v>532906.77</v>
      </c>
      <c r="I215" s="2">
        <v>94230.63</v>
      </c>
      <c r="J215">
        <v>80</v>
      </c>
      <c r="K215">
        <v>6</v>
      </c>
      <c r="L215">
        <v>121</v>
      </c>
      <c r="M215">
        <v>3</v>
      </c>
      <c r="N215">
        <v>17</v>
      </c>
      <c r="O215" s="2">
        <v>114967.08</v>
      </c>
      <c r="P215" s="2">
        <v>102.31</v>
      </c>
      <c r="Q215" s="2">
        <v>114.12</v>
      </c>
    </row>
    <row r="216" spans="1:17" x14ac:dyDescent="0.45">
      <c r="A216" s="1">
        <v>44958</v>
      </c>
      <c r="B216">
        <v>2023</v>
      </c>
      <c r="C216">
        <v>5</v>
      </c>
      <c r="D216" t="s">
        <v>27</v>
      </c>
      <c r="E216" s="2">
        <v>26781000</v>
      </c>
      <c r="F216" s="2">
        <v>2317518.9300000002</v>
      </c>
      <c r="G216" s="2">
        <v>1784236.79</v>
      </c>
      <c r="H216" s="2">
        <v>486548.42</v>
      </c>
      <c r="I216" s="2">
        <v>34070.9</v>
      </c>
      <c r="J216">
        <v>203</v>
      </c>
      <c r="K216">
        <v>19</v>
      </c>
      <c r="L216">
        <v>973</v>
      </c>
      <c r="M216">
        <v>6</v>
      </c>
      <c r="N216">
        <v>35</v>
      </c>
      <c r="O216" s="2">
        <v>399446.22</v>
      </c>
      <c r="P216" s="2">
        <v>105.88</v>
      </c>
      <c r="Q216" s="2">
        <v>107.64</v>
      </c>
    </row>
    <row r="217" spans="1:17" x14ac:dyDescent="0.45">
      <c r="A217" s="1">
        <v>44652</v>
      </c>
      <c r="B217">
        <v>2022</v>
      </c>
      <c r="C217">
        <v>7</v>
      </c>
      <c r="D217" t="s">
        <v>24</v>
      </c>
      <c r="E217" s="2">
        <v>13972000</v>
      </c>
      <c r="F217" s="2">
        <v>1047732.28</v>
      </c>
      <c r="G217" s="2">
        <v>520432.24</v>
      </c>
      <c r="H217" s="2">
        <v>483552.76</v>
      </c>
      <c r="I217" s="2">
        <v>49531.34</v>
      </c>
      <c r="J217">
        <v>76</v>
      </c>
      <c r="K217">
        <v>7</v>
      </c>
      <c r="L217">
        <v>104</v>
      </c>
      <c r="M217">
        <v>3</v>
      </c>
      <c r="N217">
        <v>20</v>
      </c>
      <c r="O217" s="2">
        <v>143074.03</v>
      </c>
      <c r="P217" s="2">
        <v>114.86</v>
      </c>
      <c r="Q217" s="2">
        <v>104.83</v>
      </c>
    </row>
    <row r="218" spans="1:17" x14ac:dyDescent="0.45">
      <c r="A218" s="1">
        <v>45383</v>
      </c>
      <c r="B218">
        <v>2024</v>
      </c>
      <c r="C218">
        <v>7</v>
      </c>
      <c r="D218" t="s">
        <v>25</v>
      </c>
      <c r="E218" s="2">
        <v>4657000</v>
      </c>
      <c r="F218" s="2">
        <v>404406.65</v>
      </c>
      <c r="G218" s="2">
        <v>329686.03000000003</v>
      </c>
      <c r="H218" s="2">
        <v>63619.16</v>
      </c>
      <c r="I218" s="2">
        <v>8771.7099999999991</v>
      </c>
      <c r="J218">
        <v>34</v>
      </c>
      <c r="K218">
        <v>5</v>
      </c>
      <c r="L218">
        <v>50</v>
      </c>
      <c r="M218">
        <v>0</v>
      </c>
      <c r="N218">
        <v>12</v>
      </c>
      <c r="O218" s="2">
        <v>6910.86</v>
      </c>
      <c r="P218" s="2">
        <v>100.08</v>
      </c>
      <c r="Q218" s="2">
        <v>112.31</v>
      </c>
    </row>
    <row r="219" spans="1:17" x14ac:dyDescent="0.45">
      <c r="A219" s="1">
        <v>45931</v>
      </c>
      <c r="B219">
        <v>2026</v>
      </c>
      <c r="C219">
        <v>1</v>
      </c>
      <c r="D219" t="s">
        <v>21</v>
      </c>
      <c r="E219" s="2">
        <v>9501000</v>
      </c>
      <c r="F219" s="2">
        <v>797553.43</v>
      </c>
      <c r="G219" s="2">
        <v>518000.01</v>
      </c>
      <c r="H219" s="2">
        <v>252316.14</v>
      </c>
      <c r="I219" s="2">
        <v>39650.53</v>
      </c>
      <c r="J219">
        <v>67</v>
      </c>
      <c r="K219">
        <v>5</v>
      </c>
      <c r="L219">
        <v>37</v>
      </c>
      <c r="M219">
        <v>2</v>
      </c>
      <c r="N219">
        <v>15</v>
      </c>
      <c r="O219" s="2">
        <v>62572.83</v>
      </c>
      <c r="P219" s="2">
        <v>123.7</v>
      </c>
      <c r="Q219" s="2">
        <v>118.19</v>
      </c>
    </row>
    <row r="220" spans="1:17" x14ac:dyDescent="0.45">
      <c r="A220" s="1">
        <v>45017</v>
      </c>
      <c r="B220">
        <v>2023</v>
      </c>
      <c r="C220">
        <v>7</v>
      </c>
      <c r="D220" t="s">
        <v>17</v>
      </c>
      <c r="E220" s="2">
        <v>7820000</v>
      </c>
      <c r="F220" s="2">
        <v>611942.48</v>
      </c>
      <c r="G220" s="2">
        <v>331395.95</v>
      </c>
      <c r="H220" s="2">
        <v>236576.3</v>
      </c>
      <c r="I220" s="2">
        <v>24903.63</v>
      </c>
      <c r="J220">
        <v>44</v>
      </c>
      <c r="K220">
        <v>3</v>
      </c>
      <c r="L220">
        <v>64</v>
      </c>
      <c r="M220">
        <v>1</v>
      </c>
      <c r="N220">
        <v>13</v>
      </c>
      <c r="O220" s="2">
        <v>26514.37</v>
      </c>
      <c r="P220" s="2">
        <v>107.48</v>
      </c>
      <c r="Q220" s="2">
        <v>109.08</v>
      </c>
    </row>
    <row r="221" spans="1:17" x14ac:dyDescent="0.45">
      <c r="A221" s="1">
        <v>44682</v>
      </c>
      <c r="B221">
        <v>2022</v>
      </c>
      <c r="C221">
        <v>8</v>
      </c>
      <c r="D221" t="s">
        <v>27</v>
      </c>
      <c r="E221" s="2">
        <v>25875000</v>
      </c>
      <c r="F221" s="2">
        <v>2048506.82</v>
      </c>
      <c r="G221" s="2">
        <v>1683922.56</v>
      </c>
      <c r="H221" s="2">
        <v>420829.66</v>
      </c>
      <c r="I221" s="2">
        <v>27546.38</v>
      </c>
      <c r="J221">
        <v>208</v>
      </c>
      <c r="K221">
        <v>13</v>
      </c>
      <c r="L221">
        <v>1112</v>
      </c>
      <c r="M221">
        <v>9</v>
      </c>
      <c r="N221">
        <v>34</v>
      </c>
      <c r="O221" s="2">
        <v>586565.41</v>
      </c>
      <c r="P221" s="2">
        <v>109.32</v>
      </c>
      <c r="Q221" s="2">
        <v>104.37</v>
      </c>
    </row>
    <row r="222" spans="1:17" x14ac:dyDescent="0.45">
      <c r="A222" s="1">
        <v>45413</v>
      </c>
      <c r="B222">
        <v>2024</v>
      </c>
      <c r="C222">
        <v>8</v>
      </c>
      <c r="D222" t="s">
        <v>27</v>
      </c>
      <c r="E222" s="2">
        <v>27718000</v>
      </c>
      <c r="F222" s="2">
        <v>2434793.17</v>
      </c>
      <c r="G222" s="2">
        <v>1875855.6</v>
      </c>
      <c r="H222" s="2">
        <v>452328.76</v>
      </c>
      <c r="I222" s="2">
        <v>84806.99</v>
      </c>
      <c r="J222">
        <v>214</v>
      </c>
      <c r="K222">
        <v>15</v>
      </c>
      <c r="L222">
        <v>1074</v>
      </c>
      <c r="M222">
        <v>8</v>
      </c>
      <c r="N222">
        <v>33</v>
      </c>
      <c r="O222" s="2">
        <v>705006.51</v>
      </c>
      <c r="P222" s="2">
        <v>100.24</v>
      </c>
      <c r="Q222" s="2">
        <v>113.52</v>
      </c>
    </row>
    <row r="223" spans="1:17" x14ac:dyDescent="0.45">
      <c r="A223" s="1">
        <v>45352</v>
      </c>
      <c r="B223">
        <v>2024</v>
      </c>
      <c r="C223">
        <v>6</v>
      </c>
      <c r="D223" t="s">
        <v>27</v>
      </c>
      <c r="E223" s="2">
        <v>27718000</v>
      </c>
      <c r="F223" s="2">
        <v>2427902.0699999998</v>
      </c>
      <c r="G223" s="2">
        <v>1857543.4</v>
      </c>
      <c r="H223" s="2">
        <v>507750.14</v>
      </c>
      <c r="I223" s="2">
        <v>92380.44</v>
      </c>
      <c r="J223">
        <v>209</v>
      </c>
      <c r="K223">
        <v>15</v>
      </c>
      <c r="L223">
        <v>862</v>
      </c>
      <c r="M223">
        <v>7</v>
      </c>
      <c r="N223">
        <v>30</v>
      </c>
      <c r="O223" s="2">
        <v>513732.86</v>
      </c>
      <c r="P223" s="2">
        <v>101.94</v>
      </c>
      <c r="Q223" s="2">
        <v>111</v>
      </c>
    </row>
    <row r="224" spans="1:17" x14ac:dyDescent="0.45">
      <c r="A224" s="1">
        <v>44927</v>
      </c>
      <c r="B224">
        <v>2023</v>
      </c>
      <c r="C224">
        <v>4</v>
      </c>
      <c r="D224" t="s">
        <v>17</v>
      </c>
      <c r="E224" s="2">
        <v>7820000</v>
      </c>
      <c r="F224" s="2">
        <v>620694.73</v>
      </c>
      <c r="G224" s="2">
        <v>329659.63</v>
      </c>
      <c r="H224" s="2">
        <v>263533.84999999998</v>
      </c>
      <c r="I224" s="2">
        <v>30493.8</v>
      </c>
      <c r="J224">
        <v>42</v>
      </c>
      <c r="K224">
        <v>3</v>
      </c>
      <c r="L224">
        <v>48</v>
      </c>
      <c r="M224">
        <v>1</v>
      </c>
      <c r="N224">
        <v>14</v>
      </c>
      <c r="O224" s="2">
        <v>40306.300000000003</v>
      </c>
      <c r="P224" s="2">
        <v>106.81</v>
      </c>
      <c r="Q224" s="2">
        <v>107.03</v>
      </c>
    </row>
    <row r="225" spans="1:17" x14ac:dyDescent="0.45">
      <c r="A225" s="1">
        <v>44958</v>
      </c>
      <c r="B225">
        <v>2023</v>
      </c>
      <c r="C225">
        <v>5</v>
      </c>
      <c r="D225" t="s">
        <v>24</v>
      </c>
      <c r="E225" s="2">
        <v>14462000</v>
      </c>
      <c r="F225" s="2">
        <v>1214575.24</v>
      </c>
      <c r="G225" s="2">
        <v>589637.19999999995</v>
      </c>
      <c r="H225" s="2">
        <v>518637.02</v>
      </c>
      <c r="I225" s="2">
        <v>63034.73</v>
      </c>
      <c r="J225">
        <v>79</v>
      </c>
      <c r="K225">
        <v>3</v>
      </c>
      <c r="L225">
        <v>129</v>
      </c>
      <c r="M225">
        <v>8</v>
      </c>
      <c r="N225">
        <v>32</v>
      </c>
      <c r="O225" s="2">
        <v>266826.19</v>
      </c>
      <c r="P225" s="2">
        <v>107.78</v>
      </c>
      <c r="Q225" s="2">
        <v>107.99</v>
      </c>
    </row>
    <row r="226" spans="1:17" x14ac:dyDescent="0.45">
      <c r="A226" s="1">
        <v>44986</v>
      </c>
      <c r="B226">
        <v>2023</v>
      </c>
      <c r="C226">
        <v>6</v>
      </c>
      <c r="D226" t="s">
        <v>21</v>
      </c>
      <c r="E226" s="2">
        <v>8570000</v>
      </c>
      <c r="F226" s="2">
        <v>697923.33</v>
      </c>
      <c r="G226" s="2">
        <v>455348.86</v>
      </c>
      <c r="H226" s="2">
        <v>234017.8</v>
      </c>
      <c r="I226" s="2">
        <v>18346.41</v>
      </c>
      <c r="J226">
        <v>66</v>
      </c>
      <c r="K226">
        <v>7</v>
      </c>
      <c r="L226">
        <v>71</v>
      </c>
      <c r="M226">
        <v>2</v>
      </c>
      <c r="N226">
        <v>14</v>
      </c>
      <c r="O226" s="2">
        <v>42590.37</v>
      </c>
      <c r="P226" s="2">
        <v>105.05</v>
      </c>
      <c r="Q226" s="2">
        <v>108.17</v>
      </c>
    </row>
    <row r="227" spans="1:17" x14ac:dyDescent="0.45">
      <c r="A227" s="1">
        <v>45778</v>
      </c>
      <c r="B227">
        <v>2025</v>
      </c>
      <c r="C227">
        <v>8</v>
      </c>
      <c r="D227" t="s">
        <v>23</v>
      </c>
      <c r="E227" s="2">
        <v>21803000</v>
      </c>
      <c r="F227" s="2">
        <v>1973538.07</v>
      </c>
      <c r="G227" s="2">
        <v>895389.03</v>
      </c>
      <c r="H227" s="2">
        <v>820019.57</v>
      </c>
      <c r="I227" s="2">
        <v>148365.56</v>
      </c>
      <c r="J227">
        <v>101</v>
      </c>
      <c r="K227">
        <v>10</v>
      </c>
      <c r="L227">
        <v>457</v>
      </c>
      <c r="M227">
        <v>6</v>
      </c>
      <c r="N227">
        <v>31</v>
      </c>
      <c r="O227" s="2">
        <v>357466.09</v>
      </c>
      <c r="P227" s="2">
        <v>113.58</v>
      </c>
      <c r="Q227" s="2">
        <v>116.2</v>
      </c>
    </row>
    <row r="228" spans="1:17" x14ac:dyDescent="0.45">
      <c r="A228" s="1">
        <v>45170</v>
      </c>
      <c r="B228">
        <v>2023</v>
      </c>
      <c r="C228">
        <v>12</v>
      </c>
      <c r="D228" t="s">
        <v>22</v>
      </c>
      <c r="E228" s="2">
        <v>6642000</v>
      </c>
      <c r="F228" s="2">
        <v>553495.91</v>
      </c>
      <c r="G228" s="2">
        <v>271573.93</v>
      </c>
      <c r="H228" s="2">
        <v>249973.57</v>
      </c>
      <c r="I228" s="2">
        <v>25827.68</v>
      </c>
      <c r="J228">
        <v>30</v>
      </c>
      <c r="K228">
        <v>0</v>
      </c>
      <c r="L228">
        <v>30</v>
      </c>
      <c r="M228">
        <v>0</v>
      </c>
      <c r="N228">
        <v>10</v>
      </c>
      <c r="O228" s="2">
        <v>13142.8</v>
      </c>
      <c r="P228" s="2">
        <v>102.05</v>
      </c>
      <c r="Q228" s="2">
        <v>109.42</v>
      </c>
    </row>
    <row r="229" spans="1:17" x14ac:dyDescent="0.45">
      <c r="A229" s="1">
        <v>44378</v>
      </c>
      <c r="B229">
        <v>2021</v>
      </c>
      <c r="C229">
        <v>10</v>
      </c>
      <c r="D229" t="s">
        <v>22</v>
      </c>
      <c r="E229" s="2">
        <v>6200000</v>
      </c>
      <c r="F229" s="2">
        <v>545000.27</v>
      </c>
      <c r="G229" s="2">
        <v>247549.32</v>
      </c>
      <c r="H229" s="2">
        <v>185520.36</v>
      </c>
      <c r="I229" s="2">
        <v>117407.49</v>
      </c>
      <c r="J229">
        <v>30</v>
      </c>
      <c r="K229">
        <v>0</v>
      </c>
      <c r="L229">
        <v>20</v>
      </c>
      <c r="M229">
        <v>3</v>
      </c>
      <c r="N229">
        <v>10</v>
      </c>
      <c r="O229" s="2">
        <v>33126.76</v>
      </c>
      <c r="P229" s="2">
        <v>107.67</v>
      </c>
      <c r="Q229" s="2">
        <v>101.32</v>
      </c>
    </row>
    <row r="230" spans="1:17" x14ac:dyDescent="0.45">
      <c r="A230" s="1">
        <v>44621</v>
      </c>
      <c r="B230">
        <v>2022</v>
      </c>
      <c r="C230">
        <v>6</v>
      </c>
      <c r="D230" t="s">
        <v>21</v>
      </c>
      <c r="E230" s="2">
        <v>8280000</v>
      </c>
      <c r="F230" s="2">
        <v>689746.92</v>
      </c>
      <c r="G230" s="2">
        <v>438705.25</v>
      </c>
      <c r="H230" s="2">
        <v>219761.01</v>
      </c>
      <c r="I230" s="2">
        <v>9728.4</v>
      </c>
      <c r="J230">
        <v>65</v>
      </c>
      <c r="K230">
        <v>6</v>
      </c>
      <c r="L230">
        <v>84</v>
      </c>
      <c r="M230">
        <v>4</v>
      </c>
      <c r="N230">
        <v>16</v>
      </c>
      <c r="O230" s="2">
        <v>77970.75</v>
      </c>
      <c r="P230" s="2">
        <v>112.99</v>
      </c>
      <c r="Q230" s="2">
        <v>104.48</v>
      </c>
    </row>
    <row r="231" spans="1:17" x14ac:dyDescent="0.45">
      <c r="A231" s="1">
        <v>45992</v>
      </c>
      <c r="B231">
        <v>2026</v>
      </c>
      <c r="C231">
        <v>3</v>
      </c>
      <c r="D231" t="s">
        <v>23</v>
      </c>
      <c r="E231" s="2">
        <v>22566000</v>
      </c>
      <c r="F231" s="2">
        <v>2530008.7799999998</v>
      </c>
      <c r="G231" s="2">
        <v>916545.03</v>
      </c>
      <c r="H231" s="2">
        <v>1143135.44</v>
      </c>
      <c r="I231" s="2">
        <v>492605.48</v>
      </c>
      <c r="J231">
        <v>101</v>
      </c>
      <c r="K231">
        <v>8</v>
      </c>
      <c r="L231">
        <v>482</v>
      </c>
      <c r="M231">
        <v>7</v>
      </c>
      <c r="N231">
        <v>32</v>
      </c>
      <c r="O231" s="2">
        <v>319063.53999999998</v>
      </c>
      <c r="P231" s="2">
        <v>123.78</v>
      </c>
      <c r="Q231" s="2">
        <v>118.32</v>
      </c>
    </row>
    <row r="232" spans="1:17" x14ac:dyDescent="0.45">
      <c r="A232" s="1">
        <v>44774</v>
      </c>
      <c r="B232">
        <v>2022</v>
      </c>
      <c r="C232">
        <v>11</v>
      </c>
      <c r="D232" t="s">
        <v>25</v>
      </c>
      <c r="E232" s="2">
        <v>4347000</v>
      </c>
      <c r="F232" s="2">
        <v>366026.96</v>
      </c>
      <c r="G232" s="2">
        <v>307189.64</v>
      </c>
      <c r="H232" s="2">
        <v>59767.48</v>
      </c>
      <c r="I232" s="2">
        <v>4710.37</v>
      </c>
      <c r="J232">
        <v>33</v>
      </c>
      <c r="K232">
        <v>0</v>
      </c>
      <c r="L232">
        <v>48</v>
      </c>
      <c r="M232">
        <v>2</v>
      </c>
      <c r="N232">
        <v>15</v>
      </c>
      <c r="O232" s="2">
        <v>23333.52</v>
      </c>
      <c r="P232" s="2">
        <v>111.49</v>
      </c>
      <c r="Q232" s="2">
        <v>106.48</v>
      </c>
    </row>
    <row r="233" spans="1:17" x14ac:dyDescent="0.45">
      <c r="A233" s="1">
        <v>45108</v>
      </c>
      <c r="B233">
        <v>2023</v>
      </c>
      <c r="C233">
        <v>10</v>
      </c>
      <c r="D233" t="s">
        <v>23</v>
      </c>
      <c r="E233" s="2">
        <v>20353000</v>
      </c>
      <c r="F233" s="2">
        <v>1487140.5</v>
      </c>
      <c r="G233" s="2">
        <v>770234</v>
      </c>
      <c r="H233" s="2">
        <v>677557.38</v>
      </c>
      <c r="I233" s="2">
        <v>114667.39</v>
      </c>
      <c r="J233">
        <v>94</v>
      </c>
      <c r="K233">
        <v>8</v>
      </c>
      <c r="L233">
        <v>415</v>
      </c>
      <c r="M233">
        <v>8</v>
      </c>
      <c r="N233">
        <v>31</v>
      </c>
      <c r="O233" s="2">
        <v>502580.47</v>
      </c>
      <c r="P233" s="2">
        <v>102.06</v>
      </c>
      <c r="Q233" s="2">
        <v>108.88</v>
      </c>
    </row>
    <row r="234" spans="1:17" x14ac:dyDescent="0.45">
      <c r="A234" s="1">
        <v>45931</v>
      </c>
      <c r="B234">
        <v>2026</v>
      </c>
      <c r="C234">
        <v>1</v>
      </c>
      <c r="D234" t="s">
        <v>25</v>
      </c>
      <c r="E234" s="2">
        <v>4988000</v>
      </c>
      <c r="F234" s="2">
        <v>443722.13</v>
      </c>
      <c r="G234" s="2">
        <v>356383.04</v>
      </c>
      <c r="H234" s="2">
        <v>76786.89</v>
      </c>
      <c r="I234" s="2">
        <v>6372.7</v>
      </c>
      <c r="J234">
        <v>34</v>
      </c>
      <c r="K234">
        <v>0</v>
      </c>
      <c r="L234">
        <v>58</v>
      </c>
      <c r="M234">
        <v>4</v>
      </c>
      <c r="N234">
        <v>16</v>
      </c>
      <c r="O234" s="2">
        <v>50793.279999999999</v>
      </c>
      <c r="P234" s="2">
        <v>119.6</v>
      </c>
      <c r="Q234" s="2">
        <v>117.39</v>
      </c>
    </row>
    <row r="235" spans="1:17" x14ac:dyDescent="0.45">
      <c r="A235" s="1">
        <v>45292</v>
      </c>
      <c r="B235">
        <v>2024</v>
      </c>
      <c r="C235">
        <v>4</v>
      </c>
      <c r="D235" t="s">
        <v>21</v>
      </c>
      <c r="E235" s="2">
        <v>8870000</v>
      </c>
      <c r="F235" s="2">
        <v>752996.57</v>
      </c>
      <c r="G235" s="2">
        <v>506398.22</v>
      </c>
      <c r="H235" s="2">
        <v>209758.51</v>
      </c>
      <c r="I235" s="2">
        <v>39986.199999999997</v>
      </c>
      <c r="J235">
        <v>68</v>
      </c>
      <c r="K235">
        <v>7</v>
      </c>
      <c r="L235">
        <v>59</v>
      </c>
      <c r="M235">
        <v>3</v>
      </c>
      <c r="N235">
        <v>15</v>
      </c>
      <c r="O235" s="2">
        <v>67526.53</v>
      </c>
      <c r="P235" s="2">
        <v>100.05</v>
      </c>
      <c r="Q235" s="2">
        <v>110.4</v>
      </c>
    </row>
    <row r="236" spans="1:17" x14ac:dyDescent="0.45">
      <c r="A236" s="1">
        <v>45170</v>
      </c>
      <c r="B236">
        <v>2023</v>
      </c>
      <c r="C236">
        <v>12</v>
      </c>
      <c r="D236" t="s">
        <v>17</v>
      </c>
      <c r="E236" s="2">
        <v>7820000</v>
      </c>
      <c r="F236" s="2">
        <v>657079.14</v>
      </c>
      <c r="G236" s="2">
        <v>319654.78999999998</v>
      </c>
      <c r="H236" s="2">
        <v>258694.11</v>
      </c>
      <c r="I236" s="2">
        <v>104566.14</v>
      </c>
      <c r="J236">
        <v>44</v>
      </c>
      <c r="K236">
        <v>8</v>
      </c>
      <c r="L236">
        <v>14</v>
      </c>
      <c r="M236">
        <v>2</v>
      </c>
      <c r="N236">
        <v>11</v>
      </c>
      <c r="O236" s="2">
        <v>47374.82</v>
      </c>
      <c r="P236" s="2">
        <v>104.11</v>
      </c>
      <c r="Q236" s="2">
        <v>109.58</v>
      </c>
    </row>
    <row r="237" spans="1:17" x14ac:dyDescent="0.45">
      <c r="A237" s="1">
        <v>45717</v>
      </c>
      <c r="B237">
        <v>2025</v>
      </c>
      <c r="C237">
        <v>6</v>
      </c>
      <c r="D237" t="s">
        <v>22</v>
      </c>
      <c r="E237" s="2">
        <v>7115000</v>
      </c>
      <c r="F237" s="2">
        <v>540722.42000000004</v>
      </c>
      <c r="G237" s="2">
        <v>298879.65000000002</v>
      </c>
      <c r="H237" s="2">
        <v>227130.34</v>
      </c>
      <c r="I237" s="2">
        <v>18579.27</v>
      </c>
      <c r="J237">
        <v>30</v>
      </c>
      <c r="K237">
        <v>1</v>
      </c>
      <c r="L237">
        <v>13</v>
      </c>
      <c r="M237">
        <v>4</v>
      </c>
      <c r="N237">
        <v>14</v>
      </c>
      <c r="O237" s="2">
        <v>56048.39</v>
      </c>
      <c r="P237" s="2">
        <v>112.59</v>
      </c>
      <c r="Q237" s="2">
        <v>115.56</v>
      </c>
    </row>
    <row r="238" spans="1:17" x14ac:dyDescent="0.45">
      <c r="A238" s="1">
        <v>44774</v>
      </c>
      <c r="B238">
        <v>2022</v>
      </c>
      <c r="C238">
        <v>11</v>
      </c>
      <c r="D238" t="s">
        <v>23</v>
      </c>
      <c r="E238" s="2">
        <v>19665000</v>
      </c>
      <c r="F238" s="2">
        <v>1822314.66</v>
      </c>
      <c r="G238" s="2">
        <v>748040.3</v>
      </c>
      <c r="H238" s="2">
        <v>839913.37</v>
      </c>
      <c r="I238" s="2">
        <v>276486.12</v>
      </c>
      <c r="J238">
        <v>94</v>
      </c>
      <c r="K238">
        <v>5</v>
      </c>
      <c r="L238">
        <v>379</v>
      </c>
      <c r="M238">
        <v>6</v>
      </c>
      <c r="N238">
        <v>25</v>
      </c>
      <c r="O238" s="2">
        <v>213771.58</v>
      </c>
      <c r="P238" s="2">
        <v>108.74</v>
      </c>
      <c r="Q238" s="2">
        <v>105.77</v>
      </c>
    </row>
    <row r="239" spans="1:17" x14ac:dyDescent="0.45">
      <c r="A239" s="1">
        <v>45170</v>
      </c>
      <c r="B239">
        <v>2023</v>
      </c>
      <c r="C239">
        <v>12</v>
      </c>
      <c r="D239" t="s">
        <v>25</v>
      </c>
      <c r="E239" s="2">
        <v>4499000</v>
      </c>
      <c r="F239" s="2">
        <v>395606.56</v>
      </c>
      <c r="G239" s="2">
        <v>329391.11</v>
      </c>
      <c r="H239" s="2">
        <v>64149.279999999999</v>
      </c>
      <c r="I239" s="2">
        <v>7073.21</v>
      </c>
      <c r="J239">
        <v>33</v>
      </c>
      <c r="K239">
        <v>0</v>
      </c>
      <c r="L239">
        <v>22</v>
      </c>
      <c r="M239">
        <v>2</v>
      </c>
      <c r="N239">
        <v>9</v>
      </c>
      <c r="O239" s="2">
        <v>17657.310000000001</v>
      </c>
      <c r="P239" s="2">
        <v>99.44</v>
      </c>
      <c r="Q239" s="2">
        <v>109.98</v>
      </c>
    </row>
    <row r="240" spans="1:17" x14ac:dyDescent="0.45">
      <c r="A240" s="1">
        <v>45047</v>
      </c>
      <c r="B240">
        <v>2023</v>
      </c>
      <c r="C240">
        <v>8</v>
      </c>
      <c r="D240" t="s">
        <v>23</v>
      </c>
      <c r="E240" s="2">
        <v>20353000</v>
      </c>
      <c r="F240" s="2">
        <v>1923909.18</v>
      </c>
      <c r="G240" s="2">
        <v>761054.89</v>
      </c>
      <c r="H240" s="2">
        <v>774641.77</v>
      </c>
      <c r="I240" s="2">
        <v>489431.85</v>
      </c>
      <c r="J240">
        <v>97</v>
      </c>
      <c r="K240">
        <v>9</v>
      </c>
      <c r="L240">
        <v>432</v>
      </c>
      <c r="M240">
        <v>7</v>
      </c>
      <c r="N240">
        <v>30</v>
      </c>
      <c r="O240" s="2">
        <v>305005.39</v>
      </c>
      <c r="P240" s="2">
        <v>101.86</v>
      </c>
      <c r="Q240" s="2">
        <v>108.63</v>
      </c>
    </row>
    <row r="241" spans="1:17" x14ac:dyDescent="0.45">
      <c r="A241" s="1">
        <v>45962</v>
      </c>
      <c r="B241">
        <v>2026</v>
      </c>
      <c r="C241">
        <v>2</v>
      </c>
      <c r="D241" t="s">
        <v>20</v>
      </c>
      <c r="E241" s="2">
        <v>16034000</v>
      </c>
      <c r="F241" s="2">
        <v>1314609.6499999999</v>
      </c>
      <c r="G241" s="2">
        <v>664725.22</v>
      </c>
      <c r="H241" s="2">
        <v>609261.46</v>
      </c>
      <c r="I241" s="2">
        <v>59576.65</v>
      </c>
      <c r="J241">
        <v>82</v>
      </c>
      <c r="K241">
        <v>5</v>
      </c>
      <c r="L241">
        <v>86</v>
      </c>
      <c r="M241">
        <v>3</v>
      </c>
      <c r="N241">
        <v>15</v>
      </c>
      <c r="O241" s="2">
        <v>154069.01999999999</v>
      </c>
      <c r="P241" s="2">
        <v>121</v>
      </c>
      <c r="Q241" s="2">
        <v>118.59</v>
      </c>
    </row>
    <row r="242" spans="1:17" x14ac:dyDescent="0.45">
      <c r="A242" s="1">
        <v>44256</v>
      </c>
      <c r="B242">
        <v>2021</v>
      </c>
      <c r="C242">
        <v>6</v>
      </c>
      <c r="D242" t="s">
        <v>27</v>
      </c>
      <c r="E242" s="2">
        <v>25000000</v>
      </c>
      <c r="F242" s="2">
        <v>1954180.69</v>
      </c>
      <c r="G242" s="2">
        <v>1595313.22</v>
      </c>
      <c r="H242" s="2">
        <v>394632.16</v>
      </c>
      <c r="I242" s="2">
        <v>44822.8</v>
      </c>
      <c r="J242">
        <v>203</v>
      </c>
      <c r="K242">
        <v>16</v>
      </c>
      <c r="L242">
        <v>774</v>
      </c>
      <c r="M242">
        <v>10</v>
      </c>
      <c r="N242">
        <v>34</v>
      </c>
      <c r="O242" s="2">
        <v>688459.36</v>
      </c>
      <c r="P242" s="2">
        <v>104.32</v>
      </c>
      <c r="Q242" s="2">
        <v>100.75</v>
      </c>
    </row>
    <row r="243" spans="1:17" x14ac:dyDescent="0.45">
      <c r="A243" s="1">
        <v>44593</v>
      </c>
      <c r="B243">
        <v>2022</v>
      </c>
      <c r="C243">
        <v>5</v>
      </c>
      <c r="D243" t="s">
        <v>18</v>
      </c>
      <c r="E243" s="2">
        <v>3622000</v>
      </c>
      <c r="F243" s="2">
        <v>300979.25</v>
      </c>
      <c r="G243" s="2">
        <v>255909.86</v>
      </c>
      <c r="H243" s="2">
        <v>38189.24</v>
      </c>
      <c r="I243" s="2">
        <v>4256.04</v>
      </c>
      <c r="J243">
        <v>27</v>
      </c>
      <c r="K243">
        <v>1</v>
      </c>
      <c r="L243">
        <v>42</v>
      </c>
      <c r="M243">
        <v>4</v>
      </c>
      <c r="N243">
        <v>12</v>
      </c>
      <c r="O243" s="2">
        <v>25349.31</v>
      </c>
      <c r="P243" s="2">
        <v>112.13</v>
      </c>
      <c r="Q243" s="2">
        <v>103.77</v>
      </c>
    </row>
    <row r="244" spans="1:17" x14ac:dyDescent="0.45">
      <c r="A244" s="1">
        <v>45901</v>
      </c>
      <c r="B244">
        <v>2025</v>
      </c>
      <c r="C244">
        <v>12</v>
      </c>
      <c r="D244" t="s">
        <v>24</v>
      </c>
      <c r="E244" s="2">
        <v>15492000</v>
      </c>
      <c r="F244" s="2">
        <v>1373192.83</v>
      </c>
      <c r="G244" s="2">
        <v>692358.12</v>
      </c>
      <c r="H244" s="2">
        <v>629594.29</v>
      </c>
      <c r="I244" s="2">
        <v>58529.91</v>
      </c>
      <c r="J244">
        <v>84</v>
      </c>
      <c r="K244">
        <v>3</v>
      </c>
      <c r="L244">
        <v>85</v>
      </c>
      <c r="M244">
        <v>1</v>
      </c>
      <c r="N244">
        <v>13</v>
      </c>
      <c r="O244" s="2">
        <v>64791.97</v>
      </c>
      <c r="P244" s="2">
        <v>119.72</v>
      </c>
      <c r="Q244" s="2">
        <v>117.3</v>
      </c>
    </row>
    <row r="245" spans="1:17" x14ac:dyDescent="0.45">
      <c r="A245" s="1">
        <v>45047</v>
      </c>
      <c r="B245">
        <v>2023</v>
      </c>
      <c r="C245">
        <v>8</v>
      </c>
      <c r="D245" t="s">
        <v>22</v>
      </c>
      <c r="E245" s="2">
        <v>6642000</v>
      </c>
      <c r="F245" s="2">
        <v>543404.42000000004</v>
      </c>
      <c r="G245" s="2">
        <v>279856.09999999998</v>
      </c>
      <c r="H245" s="2">
        <v>232386.6</v>
      </c>
      <c r="I245" s="2">
        <v>23340.09</v>
      </c>
      <c r="J245">
        <v>32</v>
      </c>
      <c r="K245">
        <v>4</v>
      </c>
      <c r="L245">
        <v>21</v>
      </c>
      <c r="M245">
        <v>0</v>
      </c>
      <c r="N245">
        <v>12</v>
      </c>
      <c r="O245" s="2">
        <v>14173.16</v>
      </c>
      <c r="P245" s="2">
        <v>105.11</v>
      </c>
      <c r="Q245" s="2">
        <v>108.95</v>
      </c>
    </row>
    <row r="246" spans="1:17" x14ac:dyDescent="0.45">
      <c r="A246" s="1">
        <v>45689</v>
      </c>
      <c r="B246">
        <v>2025</v>
      </c>
      <c r="C246">
        <v>5</v>
      </c>
      <c r="D246" t="s">
        <v>23</v>
      </c>
      <c r="E246" s="2">
        <v>21803000</v>
      </c>
      <c r="F246" s="2">
        <v>2003490.57</v>
      </c>
      <c r="G246" s="2">
        <v>866149.16</v>
      </c>
      <c r="H246" s="2">
        <v>984301.91</v>
      </c>
      <c r="I246" s="2">
        <v>63375.54</v>
      </c>
      <c r="J246">
        <v>98</v>
      </c>
      <c r="K246">
        <v>4</v>
      </c>
      <c r="L246">
        <v>399</v>
      </c>
      <c r="M246">
        <v>5</v>
      </c>
      <c r="N246">
        <v>26</v>
      </c>
      <c r="O246" s="2">
        <v>301048.89</v>
      </c>
      <c r="P246" s="2">
        <v>112.73</v>
      </c>
      <c r="Q246" s="2">
        <v>115.28</v>
      </c>
    </row>
    <row r="247" spans="1:17" x14ac:dyDescent="0.45">
      <c r="A247" s="1">
        <v>44256</v>
      </c>
      <c r="B247">
        <v>2021</v>
      </c>
      <c r="C247">
        <v>6</v>
      </c>
      <c r="D247" t="s">
        <v>17</v>
      </c>
      <c r="E247" s="2">
        <v>7300000</v>
      </c>
      <c r="F247" s="2">
        <v>726558.73</v>
      </c>
      <c r="G247" s="2">
        <v>311243.45</v>
      </c>
      <c r="H247" s="2">
        <v>256884.3</v>
      </c>
      <c r="I247" s="2">
        <v>144909.59</v>
      </c>
      <c r="J247">
        <v>42</v>
      </c>
      <c r="K247">
        <v>3</v>
      </c>
      <c r="L247">
        <v>65</v>
      </c>
      <c r="M247">
        <v>1</v>
      </c>
      <c r="N247">
        <v>15</v>
      </c>
      <c r="O247" s="2">
        <v>35478.089999999997</v>
      </c>
      <c r="P247" s="2">
        <v>104.47</v>
      </c>
      <c r="Q247" s="2">
        <v>101.33</v>
      </c>
    </row>
    <row r="248" spans="1:17" x14ac:dyDescent="0.45">
      <c r="A248" s="1">
        <v>45352</v>
      </c>
      <c r="B248">
        <v>2024</v>
      </c>
      <c r="C248">
        <v>6</v>
      </c>
      <c r="D248" t="s">
        <v>24</v>
      </c>
      <c r="E248" s="2">
        <v>14968000</v>
      </c>
      <c r="F248" s="2">
        <v>1167571.8899999999</v>
      </c>
      <c r="G248" s="2">
        <v>640449.43999999994</v>
      </c>
      <c r="H248" s="2">
        <v>512280.53</v>
      </c>
      <c r="I248" s="2">
        <v>91566.55</v>
      </c>
      <c r="J248">
        <v>81</v>
      </c>
      <c r="K248">
        <v>6</v>
      </c>
      <c r="L248">
        <v>114</v>
      </c>
      <c r="M248">
        <v>4</v>
      </c>
      <c r="N248">
        <v>22</v>
      </c>
      <c r="O248" s="2">
        <v>146551.01999999999</v>
      </c>
      <c r="P248" s="2">
        <v>103.86</v>
      </c>
      <c r="Q248" s="2">
        <v>110.85</v>
      </c>
    </row>
    <row r="249" spans="1:17" x14ac:dyDescent="0.45">
      <c r="A249" s="1">
        <v>45444</v>
      </c>
      <c r="B249">
        <v>2024</v>
      </c>
      <c r="C249">
        <v>9</v>
      </c>
      <c r="D249" t="s">
        <v>27</v>
      </c>
      <c r="E249" s="2">
        <v>27718000</v>
      </c>
      <c r="F249" s="2">
        <v>2628356.31</v>
      </c>
      <c r="G249" s="2">
        <v>1963841.74</v>
      </c>
      <c r="H249" s="2">
        <v>430475.04</v>
      </c>
      <c r="I249" s="2">
        <v>82467.94</v>
      </c>
      <c r="J249">
        <v>228</v>
      </c>
      <c r="K249">
        <v>17</v>
      </c>
      <c r="L249">
        <v>1138</v>
      </c>
      <c r="M249">
        <v>10</v>
      </c>
      <c r="N249">
        <v>41</v>
      </c>
      <c r="O249" s="2">
        <v>683746.19</v>
      </c>
      <c r="P249" s="2">
        <v>100.83</v>
      </c>
      <c r="Q249" s="2">
        <v>112.52</v>
      </c>
    </row>
    <row r="250" spans="1:17" x14ac:dyDescent="0.45">
      <c r="A250" s="1">
        <v>45383</v>
      </c>
      <c r="B250">
        <v>2024</v>
      </c>
      <c r="C250">
        <v>7</v>
      </c>
      <c r="D250" t="s">
        <v>23</v>
      </c>
      <c r="E250" s="2">
        <v>21066000</v>
      </c>
      <c r="F250" s="2">
        <v>1575773.57</v>
      </c>
      <c r="G250" s="2">
        <v>836747.98</v>
      </c>
      <c r="H250" s="2">
        <v>671108.44</v>
      </c>
      <c r="I250" s="2">
        <v>46329.88</v>
      </c>
      <c r="J250">
        <v>100</v>
      </c>
      <c r="K250">
        <v>3</v>
      </c>
      <c r="L250">
        <v>523</v>
      </c>
      <c r="M250">
        <v>6</v>
      </c>
      <c r="N250">
        <v>29</v>
      </c>
      <c r="O250" s="2">
        <v>402116.92</v>
      </c>
      <c r="P250" s="2">
        <v>102.46</v>
      </c>
      <c r="Q250" s="2">
        <v>112.14</v>
      </c>
    </row>
    <row r="251" spans="1:17" x14ac:dyDescent="0.45">
      <c r="A251" s="1">
        <v>44409</v>
      </c>
      <c r="B251">
        <v>2021</v>
      </c>
      <c r="C251">
        <v>11</v>
      </c>
      <c r="D251" t="s">
        <v>27</v>
      </c>
      <c r="E251" s="2">
        <v>25000000</v>
      </c>
      <c r="F251" s="2">
        <v>2190984.64</v>
      </c>
      <c r="G251" s="2">
        <v>1614914.5</v>
      </c>
      <c r="H251" s="2">
        <v>448148.52</v>
      </c>
      <c r="I251" s="2">
        <v>181909.43</v>
      </c>
      <c r="J251">
        <v>205</v>
      </c>
      <c r="K251">
        <v>17</v>
      </c>
      <c r="L251">
        <v>872</v>
      </c>
      <c r="M251">
        <v>10</v>
      </c>
      <c r="N251">
        <v>41</v>
      </c>
      <c r="O251" s="2">
        <v>478570.45</v>
      </c>
      <c r="P251" s="2">
        <v>106.86</v>
      </c>
      <c r="Q251" s="2">
        <v>102.38</v>
      </c>
    </row>
    <row r="252" spans="1:17" x14ac:dyDescent="0.45">
      <c r="A252" s="1">
        <v>45536</v>
      </c>
      <c r="B252">
        <v>2024</v>
      </c>
      <c r="C252">
        <v>12</v>
      </c>
      <c r="D252" t="s">
        <v>21</v>
      </c>
      <c r="E252" s="2">
        <v>8870000</v>
      </c>
      <c r="F252" s="2">
        <v>754065.3</v>
      </c>
      <c r="G252" s="2">
        <v>478143.67</v>
      </c>
      <c r="H252" s="2">
        <v>234726.29</v>
      </c>
      <c r="I252" s="2">
        <v>29122.12</v>
      </c>
      <c r="J252">
        <v>67</v>
      </c>
      <c r="K252">
        <v>7</v>
      </c>
      <c r="L252">
        <v>129</v>
      </c>
      <c r="M252">
        <v>2</v>
      </c>
      <c r="N252">
        <v>13</v>
      </c>
      <c r="O252" s="2">
        <v>48821.52</v>
      </c>
      <c r="P252" s="2">
        <v>103.56</v>
      </c>
      <c r="Q252" s="2">
        <v>113.64</v>
      </c>
    </row>
    <row r="253" spans="1:17" x14ac:dyDescent="0.45">
      <c r="A253" s="1">
        <v>45017</v>
      </c>
      <c r="B253">
        <v>2023</v>
      </c>
      <c r="C253">
        <v>7</v>
      </c>
      <c r="D253" t="s">
        <v>24</v>
      </c>
      <c r="E253" s="2">
        <v>14462000</v>
      </c>
      <c r="F253" s="2">
        <v>1260074.6399999999</v>
      </c>
      <c r="G253" s="2">
        <v>610689.79</v>
      </c>
      <c r="H253" s="2">
        <v>534470.39</v>
      </c>
      <c r="I253" s="2">
        <v>82186.759999999995</v>
      </c>
      <c r="J253">
        <v>80</v>
      </c>
      <c r="K253">
        <v>5</v>
      </c>
      <c r="L253">
        <v>94</v>
      </c>
      <c r="M253">
        <v>3</v>
      </c>
      <c r="N253">
        <v>18</v>
      </c>
      <c r="O253" s="2">
        <v>97594.01</v>
      </c>
      <c r="P253" s="2">
        <v>104.43</v>
      </c>
      <c r="Q253" s="2">
        <v>108.9</v>
      </c>
    </row>
    <row r="254" spans="1:17" x14ac:dyDescent="0.45">
      <c r="A254" s="1">
        <v>44440</v>
      </c>
      <c r="B254">
        <v>2021</v>
      </c>
      <c r="C254">
        <v>12</v>
      </c>
      <c r="D254" t="s">
        <v>27</v>
      </c>
      <c r="E254" s="2">
        <v>25000000</v>
      </c>
      <c r="F254" s="2">
        <v>2221515.63</v>
      </c>
      <c r="G254" s="2">
        <v>1698085.55</v>
      </c>
      <c r="H254" s="2">
        <v>545705.88</v>
      </c>
      <c r="I254" s="2">
        <v>79486.880000000005</v>
      </c>
      <c r="J254">
        <v>205</v>
      </c>
      <c r="K254">
        <v>16</v>
      </c>
      <c r="L254">
        <v>1045</v>
      </c>
      <c r="M254">
        <v>8</v>
      </c>
      <c r="N254">
        <v>30</v>
      </c>
      <c r="O254" s="2">
        <v>614723.78</v>
      </c>
      <c r="P254" s="2">
        <v>111.98</v>
      </c>
      <c r="Q254" s="2">
        <v>101.98</v>
      </c>
    </row>
    <row r="255" spans="1:17" x14ac:dyDescent="0.45">
      <c r="A255" s="1">
        <v>44927</v>
      </c>
      <c r="B255">
        <v>2023</v>
      </c>
      <c r="C255">
        <v>4</v>
      </c>
      <c r="D255" t="s">
        <v>28</v>
      </c>
      <c r="E255" s="2">
        <v>23567000</v>
      </c>
      <c r="F255" s="2">
        <v>2044970.4</v>
      </c>
      <c r="G255" s="2">
        <v>1733667.74</v>
      </c>
      <c r="H255" s="2">
        <v>389929.27</v>
      </c>
      <c r="I255" s="2">
        <v>19373.240000000002</v>
      </c>
      <c r="J255">
        <v>189</v>
      </c>
      <c r="K255">
        <v>12</v>
      </c>
      <c r="L255">
        <v>717</v>
      </c>
      <c r="M255">
        <v>4</v>
      </c>
      <c r="N255">
        <v>26</v>
      </c>
      <c r="O255" s="2">
        <v>229555.64</v>
      </c>
      <c r="P255" s="2">
        <v>109.86</v>
      </c>
      <c r="Q255" s="2">
        <v>107.72</v>
      </c>
    </row>
    <row r="256" spans="1:17" x14ac:dyDescent="0.45">
      <c r="A256" s="1">
        <v>44593</v>
      </c>
      <c r="B256">
        <v>2022</v>
      </c>
      <c r="C256">
        <v>5</v>
      </c>
      <c r="D256" t="s">
        <v>27</v>
      </c>
      <c r="E256" s="2">
        <v>25875000</v>
      </c>
      <c r="F256" s="2">
        <v>2132822.38</v>
      </c>
      <c r="G256" s="2">
        <v>1644822.8</v>
      </c>
      <c r="H256" s="2">
        <v>402505.09</v>
      </c>
      <c r="I256" s="2">
        <v>34061.06</v>
      </c>
      <c r="J256">
        <v>207</v>
      </c>
      <c r="K256">
        <v>15</v>
      </c>
      <c r="L256">
        <v>910</v>
      </c>
      <c r="M256">
        <v>6</v>
      </c>
      <c r="N256">
        <v>29</v>
      </c>
      <c r="O256" s="2">
        <v>452843.4</v>
      </c>
      <c r="P256" s="2">
        <v>108.91</v>
      </c>
      <c r="Q256" s="2">
        <v>104.79</v>
      </c>
    </row>
    <row r="257" spans="1:17" x14ac:dyDescent="0.45">
      <c r="A257" s="1">
        <v>45627</v>
      </c>
      <c r="B257">
        <v>2025</v>
      </c>
      <c r="C257">
        <v>3</v>
      </c>
      <c r="D257" t="s">
        <v>21</v>
      </c>
      <c r="E257" s="2">
        <v>9180000</v>
      </c>
      <c r="F257" s="2">
        <v>853338.66</v>
      </c>
      <c r="G257" s="2">
        <v>527008.87</v>
      </c>
      <c r="H257" s="2">
        <v>278884.71000000002</v>
      </c>
      <c r="I257" s="2">
        <v>33931.949999999997</v>
      </c>
      <c r="J257">
        <v>66</v>
      </c>
      <c r="K257">
        <v>6</v>
      </c>
      <c r="L257">
        <v>86</v>
      </c>
      <c r="M257">
        <v>5</v>
      </c>
      <c r="N257">
        <v>20</v>
      </c>
      <c r="O257" s="2">
        <v>93390.23</v>
      </c>
      <c r="P257" s="2">
        <v>109.28</v>
      </c>
      <c r="Q257" s="2">
        <v>114.71</v>
      </c>
    </row>
    <row r="258" spans="1:17" x14ac:dyDescent="0.45">
      <c r="A258" s="1">
        <v>45047</v>
      </c>
      <c r="B258">
        <v>2023</v>
      </c>
      <c r="C258">
        <v>8</v>
      </c>
      <c r="D258" t="s">
        <v>19</v>
      </c>
      <c r="E258" s="2">
        <v>5142000</v>
      </c>
      <c r="F258" s="2">
        <v>426790.9</v>
      </c>
      <c r="G258" s="2">
        <v>366625.21</v>
      </c>
      <c r="H258" s="2">
        <v>60345.58</v>
      </c>
      <c r="I258" s="2">
        <v>8796.26</v>
      </c>
      <c r="J258">
        <v>37</v>
      </c>
      <c r="K258">
        <v>0</v>
      </c>
      <c r="L258">
        <v>55</v>
      </c>
      <c r="M258">
        <v>0</v>
      </c>
      <c r="N258">
        <v>10</v>
      </c>
      <c r="O258" s="2">
        <v>9283.93</v>
      </c>
      <c r="P258" s="2">
        <v>103.01</v>
      </c>
      <c r="Q258" s="2">
        <v>108.77</v>
      </c>
    </row>
    <row r="259" spans="1:17" x14ac:dyDescent="0.45">
      <c r="A259" s="1">
        <v>45352</v>
      </c>
      <c r="B259">
        <v>2024</v>
      </c>
      <c r="C259">
        <v>6</v>
      </c>
      <c r="D259" t="s">
        <v>22</v>
      </c>
      <c r="E259" s="2">
        <v>6874000</v>
      </c>
      <c r="F259" s="2">
        <v>527847.86</v>
      </c>
      <c r="G259" s="2">
        <v>276975.09999999998</v>
      </c>
      <c r="H259" s="2">
        <v>230585.69</v>
      </c>
      <c r="I259" s="2">
        <v>32842.75</v>
      </c>
      <c r="J259">
        <v>30</v>
      </c>
      <c r="K259">
        <v>5</v>
      </c>
      <c r="L259">
        <v>55</v>
      </c>
      <c r="M259">
        <v>0</v>
      </c>
      <c r="N259">
        <v>15</v>
      </c>
      <c r="O259" s="2">
        <v>12834.36</v>
      </c>
      <c r="P259" s="2">
        <v>97.14</v>
      </c>
      <c r="Q259" s="2">
        <v>111.71</v>
      </c>
    </row>
    <row r="260" spans="1:17" x14ac:dyDescent="0.45">
      <c r="A260" s="1">
        <v>45170</v>
      </c>
      <c r="B260">
        <v>2023</v>
      </c>
      <c r="C260">
        <v>12</v>
      </c>
      <c r="D260" t="s">
        <v>24</v>
      </c>
      <c r="E260" s="2">
        <v>14462000</v>
      </c>
      <c r="F260" s="2">
        <v>1387864.39</v>
      </c>
      <c r="G260" s="2">
        <v>623670.43999999994</v>
      </c>
      <c r="H260" s="2">
        <v>483382.99</v>
      </c>
      <c r="I260" s="2">
        <v>317618.39</v>
      </c>
      <c r="J260">
        <v>84</v>
      </c>
      <c r="K260">
        <v>3</v>
      </c>
      <c r="L260">
        <v>63</v>
      </c>
      <c r="M260">
        <v>7</v>
      </c>
      <c r="N260">
        <v>25</v>
      </c>
      <c r="O260" s="2">
        <v>308338.40000000002</v>
      </c>
      <c r="P260" s="2">
        <v>98.34</v>
      </c>
      <c r="Q260" s="2">
        <v>110.57</v>
      </c>
    </row>
    <row r="261" spans="1:17" x14ac:dyDescent="0.45">
      <c r="A261" s="1">
        <v>45901</v>
      </c>
      <c r="B261">
        <v>2025</v>
      </c>
      <c r="C261">
        <v>12</v>
      </c>
      <c r="D261" t="s">
        <v>18</v>
      </c>
      <c r="E261" s="2">
        <v>4016000</v>
      </c>
      <c r="F261" s="2">
        <v>353231.77</v>
      </c>
      <c r="G261" s="2">
        <v>305657.62</v>
      </c>
      <c r="H261" s="2">
        <v>44758.11</v>
      </c>
      <c r="I261" s="2">
        <v>4562.9399999999996</v>
      </c>
      <c r="J261">
        <v>28</v>
      </c>
      <c r="K261">
        <v>0</v>
      </c>
      <c r="L261">
        <v>32</v>
      </c>
      <c r="M261">
        <v>0</v>
      </c>
      <c r="N261">
        <v>4</v>
      </c>
      <c r="O261" s="2">
        <v>3096.57</v>
      </c>
      <c r="P261" s="2">
        <v>115.13</v>
      </c>
      <c r="Q261" s="2">
        <v>117.75</v>
      </c>
    </row>
    <row r="262" spans="1:17" x14ac:dyDescent="0.45">
      <c r="A262" s="1">
        <v>45901</v>
      </c>
      <c r="B262">
        <v>2025</v>
      </c>
      <c r="C262">
        <v>12</v>
      </c>
      <c r="D262" t="s">
        <v>23</v>
      </c>
      <c r="E262" s="2">
        <v>21803000</v>
      </c>
      <c r="F262" s="2">
        <v>1913355.13</v>
      </c>
      <c r="G262" s="2">
        <v>820274.14</v>
      </c>
      <c r="H262" s="2">
        <v>1003695.27</v>
      </c>
      <c r="I262" s="2">
        <v>140783.20000000001</v>
      </c>
      <c r="J262">
        <v>96</v>
      </c>
      <c r="K262">
        <v>9</v>
      </c>
      <c r="L262">
        <v>358</v>
      </c>
      <c r="M262">
        <v>6</v>
      </c>
      <c r="N262">
        <v>27</v>
      </c>
      <c r="O262" s="2">
        <v>243089.59</v>
      </c>
      <c r="P262" s="2">
        <v>119.42</v>
      </c>
      <c r="Q262" s="2">
        <v>118.27</v>
      </c>
    </row>
    <row r="263" spans="1:17" x14ac:dyDescent="0.45">
      <c r="A263" s="1">
        <v>45809</v>
      </c>
      <c r="B263">
        <v>2025</v>
      </c>
      <c r="C263">
        <v>9</v>
      </c>
      <c r="D263" t="s">
        <v>21</v>
      </c>
      <c r="E263" s="2">
        <v>9180000</v>
      </c>
      <c r="F263" s="2">
        <v>765146</v>
      </c>
      <c r="G263" s="2">
        <v>509346.31</v>
      </c>
      <c r="H263" s="2">
        <v>212396.45</v>
      </c>
      <c r="I263" s="2">
        <v>13442.17</v>
      </c>
      <c r="J263">
        <v>66</v>
      </c>
      <c r="K263">
        <v>6</v>
      </c>
      <c r="L263">
        <v>119</v>
      </c>
      <c r="M263">
        <v>2</v>
      </c>
      <c r="N263">
        <v>17</v>
      </c>
      <c r="O263" s="2">
        <v>41868.01</v>
      </c>
      <c r="P263" s="2">
        <v>116.94</v>
      </c>
      <c r="Q263" s="2">
        <v>116.87</v>
      </c>
    </row>
    <row r="264" spans="1:17" x14ac:dyDescent="0.45">
      <c r="A264" s="1">
        <v>44743</v>
      </c>
      <c r="B264">
        <v>2022</v>
      </c>
      <c r="C264">
        <v>10</v>
      </c>
      <c r="D264" t="s">
        <v>22</v>
      </c>
      <c r="E264" s="2">
        <v>6417000</v>
      </c>
      <c r="F264" s="2">
        <v>505873.13</v>
      </c>
      <c r="G264" s="2">
        <v>269705.11</v>
      </c>
      <c r="H264" s="2">
        <v>225192.15</v>
      </c>
      <c r="I264" s="2">
        <v>10544.38</v>
      </c>
      <c r="J264">
        <v>30</v>
      </c>
      <c r="K264">
        <v>3</v>
      </c>
      <c r="L264">
        <v>43</v>
      </c>
      <c r="M264">
        <v>2</v>
      </c>
      <c r="N264">
        <v>11</v>
      </c>
      <c r="O264" s="2">
        <v>40947.74</v>
      </c>
      <c r="P264" s="2">
        <v>109.81</v>
      </c>
      <c r="Q264" s="2">
        <v>106.09</v>
      </c>
    </row>
    <row r="265" spans="1:17" x14ac:dyDescent="0.45">
      <c r="A265" s="1">
        <v>44866</v>
      </c>
      <c r="B265">
        <v>2023</v>
      </c>
      <c r="C265">
        <v>2</v>
      </c>
      <c r="D265" t="s">
        <v>28</v>
      </c>
      <c r="E265" s="2">
        <v>23567000</v>
      </c>
      <c r="F265" s="2">
        <v>2166156.2000000002</v>
      </c>
      <c r="G265" s="2">
        <v>1633240.1</v>
      </c>
      <c r="H265" s="2">
        <v>509797.49</v>
      </c>
      <c r="I265" s="2">
        <v>164957.29</v>
      </c>
      <c r="J265">
        <v>182</v>
      </c>
      <c r="K265">
        <v>14</v>
      </c>
      <c r="L265">
        <v>875</v>
      </c>
      <c r="M265">
        <v>5</v>
      </c>
      <c r="N265">
        <v>29</v>
      </c>
      <c r="O265" s="2">
        <v>231051.59</v>
      </c>
      <c r="P265" s="2">
        <v>108.68</v>
      </c>
      <c r="Q265" s="2">
        <v>106.6</v>
      </c>
    </row>
    <row r="266" spans="1:17" x14ac:dyDescent="0.45">
      <c r="A266" s="1">
        <v>44348</v>
      </c>
      <c r="B266">
        <v>2021</v>
      </c>
      <c r="C266">
        <v>9</v>
      </c>
      <c r="D266" t="s">
        <v>27</v>
      </c>
      <c r="E266" s="2">
        <v>25000000</v>
      </c>
      <c r="F266" s="2">
        <v>2173605.0299999998</v>
      </c>
      <c r="G266" s="2">
        <v>1635899.58</v>
      </c>
      <c r="H266" s="2">
        <v>435466.34</v>
      </c>
      <c r="I266" s="2">
        <v>57400.02</v>
      </c>
      <c r="J266">
        <v>207</v>
      </c>
      <c r="K266">
        <v>16</v>
      </c>
      <c r="L266">
        <v>660</v>
      </c>
      <c r="M266">
        <v>8</v>
      </c>
      <c r="N266">
        <v>35</v>
      </c>
      <c r="O266" s="2">
        <v>461180.81</v>
      </c>
      <c r="P266" s="2">
        <v>101.79</v>
      </c>
      <c r="Q266" s="2">
        <v>101.45</v>
      </c>
    </row>
    <row r="267" spans="1:17" x14ac:dyDescent="0.45">
      <c r="A267" s="1">
        <v>45474</v>
      </c>
      <c r="B267">
        <v>2024</v>
      </c>
      <c r="C267">
        <v>10</v>
      </c>
      <c r="D267" t="s">
        <v>28</v>
      </c>
      <c r="E267" s="2">
        <v>24392000</v>
      </c>
      <c r="F267" s="2">
        <v>2157853.29</v>
      </c>
      <c r="G267" s="2">
        <v>1785535.1</v>
      </c>
      <c r="H267" s="2">
        <v>390336.76</v>
      </c>
      <c r="I267" s="2">
        <v>29318.080000000002</v>
      </c>
      <c r="J267">
        <v>185</v>
      </c>
      <c r="K267">
        <v>11</v>
      </c>
      <c r="L267">
        <v>631</v>
      </c>
      <c r="M267">
        <v>8</v>
      </c>
      <c r="N267">
        <v>29</v>
      </c>
      <c r="O267" s="2">
        <v>378719.53</v>
      </c>
      <c r="P267" s="2">
        <v>100.21</v>
      </c>
      <c r="Q267" s="2">
        <v>113.88</v>
      </c>
    </row>
    <row r="268" spans="1:17" x14ac:dyDescent="0.45">
      <c r="A268" s="1">
        <v>44927</v>
      </c>
      <c r="B268">
        <v>2023</v>
      </c>
      <c r="C268">
        <v>4</v>
      </c>
      <c r="D268" t="s">
        <v>22</v>
      </c>
      <c r="E268" s="2">
        <v>6642000</v>
      </c>
      <c r="F268" s="2">
        <v>537800.31000000006</v>
      </c>
      <c r="G268" s="2">
        <v>267381.15999999997</v>
      </c>
      <c r="H268" s="2">
        <v>218444.79999999999</v>
      </c>
      <c r="I268" s="2">
        <v>39475.32</v>
      </c>
      <c r="J268">
        <v>29</v>
      </c>
      <c r="K268">
        <v>7</v>
      </c>
      <c r="L268">
        <v>37</v>
      </c>
      <c r="M268">
        <v>2</v>
      </c>
      <c r="N268">
        <v>16</v>
      </c>
      <c r="O268" s="2">
        <v>36153.360000000001</v>
      </c>
      <c r="P268" s="2">
        <v>108.59</v>
      </c>
      <c r="Q268" s="2">
        <v>108.5</v>
      </c>
    </row>
    <row r="269" spans="1:17" x14ac:dyDescent="0.45">
      <c r="A269" s="1">
        <v>44682</v>
      </c>
      <c r="B269">
        <v>2022</v>
      </c>
      <c r="C269">
        <v>8</v>
      </c>
      <c r="D269" t="s">
        <v>22</v>
      </c>
      <c r="E269" s="2">
        <v>6417000</v>
      </c>
      <c r="F269" s="2">
        <v>514378.36</v>
      </c>
      <c r="G269" s="2">
        <v>265747.71999999997</v>
      </c>
      <c r="H269" s="2">
        <v>231790.74</v>
      </c>
      <c r="I269" s="2">
        <v>18705.22</v>
      </c>
      <c r="J269">
        <v>30</v>
      </c>
      <c r="K269">
        <v>3</v>
      </c>
      <c r="L269">
        <v>21</v>
      </c>
      <c r="M269">
        <v>5</v>
      </c>
      <c r="N269">
        <v>21</v>
      </c>
      <c r="O269" s="2">
        <v>59828.89</v>
      </c>
      <c r="P269" s="2">
        <v>114.2</v>
      </c>
      <c r="Q269" s="2">
        <v>104.21</v>
      </c>
    </row>
    <row r="270" spans="1:17" x14ac:dyDescent="0.45">
      <c r="A270" s="1">
        <v>45323</v>
      </c>
      <c r="B270">
        <v>2024</v>
      </c>
      <c r="C270">
        <v>5</v>
      </c>
      <c r="D270" t="s">
        <v>24</v>
      </c>
      <c r="E270" s="2">
        <v>14968000</v>
      </c>
      <c r="F270" s="2">
        <v>1223076.6499999999</v>
      </c>
      <c r="G270" s="2">
        <v>654205.99</v>
      </c>
      <c r="H270" s="2">
        <v>530803.28</v>
      </c>
      <c r="I270" s="2">
        <v>56400.43</v>
      </c>
      <c r="J270">
        <v>83</v>
      </c>
      <c r="K270">
        <v>4</v>
      </c>
      <c r="L270">
        <v>173</v>
      </c>
      <c r="M270">
        <v>2</v>
      </c>
      <c r="N270">
        <v>20</v>
      </c>
      <c r="O270" s="2">
        <v>106363.17</v>
      </c>
      <c r="P270" s="2">
        <v>100.87</v>
      </c>
      <c r="Q270" s="2">
        <v>111.82</v>
      </c>
    </row>
    <row r="271" spans="1:17" x14ac:dyDescent="0.45">
      <c r="A271" s="1">
        <v>45047</v>
      </c>
      <c r="B271">
        <v>2023</v>
      </c>
      <c r="C271">
        <v>8</v>
      </c>
      <c r="D271" t="s">
        <v>27</v>
      </c>
      <c r="E271" s="2">
        <v>26781000</v>
      </c>
      <c r="F271" s="2">
        <v>2443046.16</v>
      </c>
      <c r="G271" s="2">
        <v>1806724.38</v>
      </c>
      <c r="H271" s="2">
        <v>523828.69</v>
      </c>
      <c r="I271" s="2">
        <v>26943.200000000001</v>
      </c>
      <c r="J271">
        <v>218</v>
      </c>
      <c r="K271">
        <v>13</v>
      </c>
      <c r="L271">
        <v>793</v>
      </c>
      <c r="M271">
        <v>10</v>
      </c>
      <c r="N271">
        <v>37</v>
      </c>
      <c r="O271" s="2">
        <v>451336.88</v>
      </c>
      <c r="P271" s="2">
        <v>104.22</v>
      </c>
      <c r="Q271" s="2">
        <v>108.88</v>
      </c>
    </row>
    <row r="272" spans="1:17" x14ac:dyDescent="0.45">
      <c r="A272" s="1">
        <v>45566</v>
      </c>
      <c r="B272">
        <v>2025</v>
      </c>
      <c r="C272">
        <v>1</v>
      </c>
      <c r="D272" t="s">
        <v>28</v>
      </c>
      <c r="E272" s="2">
        <v>25246000</v>
      </c>
      <c r="F272" s="2">
        <v>2328231.0099999998</v>
      </c>
      <c r="G272" s="2">
        <v>1730050.99</v>
      </c>
      <c r="H272" s="2">
        <v>385776.5</v>
      </c>
      <c r="I272" s="2">
        <v>45167.97</v>
      </c>
      <c r="J272">
        <v>183</v>
      </c>
      <c r="K272">
        <v>13</v>
      </c>
      <c r="L272">
        <v>803</v>
      </c>
      <c r="M272">
        <v>6</v>
      </c>
      <c r="N272">
        <v>27</v>
      </c>
      <c r="O272" s="2">
        <v>451698.16</v>
      </c>
      <c r="P272" s="2">
        <v>101.95</v>
      </c>
      <c r="Q272" s="2">
        <v>113.61</v>
      </c>
    </row>
    <row r="273" spans="1:17" x14ac:dyDescent="0.45">
      <c r="A273" s="1">
        <v>45658</v>
      </c>
      <c r="B273">
        <v>2025</v>
      </c>
      <c r="C273">
        <v>4</v>
      </c>
      <c r="D273" t="s">
        <v>25</v>
      </c>
      <c r="E273" s="2">
        <v>4820000</v>
      </c>
      <c r="F273" s="2">
        <v>412900.46</v>
      </c>
      <c r="G273" s="2">
        <v>344915.59</v>
      </c>
      <c r="H273" s="2">
        <v>61531.47</v>
      </c>
      <c r="I273" s="2">
        <v>2808.27</v>
      </c>
      <c r="J273">
        <v>35</v>
      </c>
      <c r="K273">
        <v>0</v>
      </c>
      <c r="L273">
        <v>0</v>
      </c>
      <c r="M273">
        <v>3</v>
      </c>
      <c r="N273">
        <v>14</v>
      </c>
      <c r="O273" s="2">
        <v>33929.040000000001</v>
      </c>
      <c r="P273" s="2">
        <v>109.88</v>
      </c>
      <c r="Q273" s="2">
        <v>114.94</v>
      </c>
    </row>
    <row r="274" spans="1:17" x14ac:dyDescent="0.45">
      <c r="A274" s="1">
        <v>45809</v>
      </c>
      <c r="B274">
        <v>2025</v>
      </c>
      <c r="C274">
        <v>9</v>
      </c>
      <c r="D274" t="s">
        <v>17</v>
      </c>
      <c r="E274" s="2">
        <v>8377000</v>
      </c>
      <c r="F274" s="2">
        <v>726291.87</v>
      </c>
      <c r="G274" s="2">
        <v>403402.1</v>
      </c>
      <c r="H274" s="2">
        <v>294053.71000000002</v>
      </c>
      <c r="I274" s="2">
        <v>21236.81</v>
      </c>
      <c r="J274">
        <v>47</v>
      </c>
      <c r="K274">
        <v>4</v>
      </c>
      <c r="L274">
        <v>78</v>
      </c>
      <c r="M274">
        <v>4</v>
      </c>
      <c r="N274">
        <v>15</v>
      </c>
      <c r="O274" s="2">
        <v>84878.27</v>
      </c>
      <c r="P274" s="2">
        <v>110.73</v>
      </c>
      <c r="Q274" s="2">
        <v>116.72</v>
      </c>
    </row>
    <row r="275" spans="1:17" x14ac:dyDescent="0.45">
      <c r="A275" s="1">
        <v>44713</v>
      </c>
      <c r="B275">
        <v>2022</v>
      </c>
      <c r="C275">
        <v>9</v>
      </c>
      <c r="D275" t="s">
        <v>18</v>
      </c>
      <c r="E275" s="2">
        <v>3622000</v>
      </c>
      <c r="F275" s="2">
        <v>308656.59000000003</v>
      </c>
      <c r="G275" s="2">
        <v>255212.7</v>
      </c>
      <c r="H275" s="2">
        <v>43211.64</v>
      </c>
      <c r="I275" s="2">
        <v>6956.84</v>
      </c>
      <c r="J275">
        <v>27</v>
      </c>
      <c r="K275">
        <v>2</v>
      </c>
      <c r="L275">
        <v>20</v>
      </c>
      <c r="M275">
        <v>3</v>
      </c>
      <c r="N275">
        <v>12</v>
      </c>
      <c r="O275" s="2">
        <v>32700.720000000001</v>
      </c>
      <c r="P275" s="2">
        <v>110.61</v>
      </c>
      <c r="Q275" s="2">
        <v>105.02</v>
      </c>
    </row>
    <row r="276" spans="1:17" x14ac:dyDescent="0.45">
      <c r="A276" s="1">
        <v>45139</v>
      </c>
      <c r="B276">
        <v>2023</v>
      </c>
      <c r="C276">
        <v>11</v>
      </c>
      <c r="D276" t="s">
        <v>28</v>
      </c>
      <c r="E276" s="2">
        <v>23567000</v>
      </c>
      <c r="F276" s="2">
        <v>2126788.4900000002</v>
      </c>
      <c r="G276" s="2">
        <v>1644002.15</v>
      </c>
      <c r="H276" s="2">
        <v>326984.62</v>
      </c>
      <c r="I276" s="2">
        <v>175162.74</v>
      </c>
      <c r="J276">
        <v>184</v>
      </c>
      <c r="K276">
        <v>16</v>
      </c>
      <c r="L276">
        <v>841</v>
      </c>
      <c r="M276">
        <v>9</v>
      </c>
      <c r="N276">
        <v>31</v>
      </c>
      <c r="O276" s="2">
        <v>435268.73</v>
      </c>
      <c r="P276" s="2">
        <v>101.46</v>
      </c>
      <c r="Q276" s="2">
        <v>109.07</v>
      </c>
    </row>
    <row r="277" spans="1:17" x14ac:dyDescent="0.45">
      <c r="A277" s="1">
        <v>44805</v>
      </c>
      <c r="B277">
        <v>2022</v>
      </c>
      <c r="C277">
        <v>12</v>
      </c>
      <c r="D277" t="s">
        <v>19</v>
      </c>
      <c r="E277" s="2">
        <v>4968000</v>
      </c>
      <c r="F277" s="2">
        <v>424697.5</v>
      </c>
      <c r="G277" s="2">
        <v>349862.2</v>
      </c>
      <c r="H277" s="2">
        <v>65395.519999999997</v>
      </c>
      <c r="I277" s="2">
        <v>9862.2999999999993</v>
      </c>
      <c r="J277">
        <v>37</v>
      </c>
      <c r="K277">
        <v>0</v>
      </c>
      <c r="L277">
        <v>78</v>
      </c>
      <c r="M277">
        <v>2</v>
      </c>
      <c r="N277">
        <v>15</v>
      </c>
      <c r="O277" s="2">
        <v>22378.07</v>
      </c>
      <c r="P277" s="2">
        <v>108.91</v>
      </c>
      <c r="Q277" s="2">
        <v>106.28</v>
      </c>
    </row>
    <row r="278" spans="1:17" x14ac:dyDescent="0.45">
      <c r="A278" s="1">
        <v>44713</v>
      </c>
      <c r="B278">
        <v>2022</v>
      </c>
      <c r="C278">
        <v>9</v>
      </c>
      <c r="D278" t="s">
        <v>21</v>
      </c>
      <c r="E278" s="2">
        <v>8280000</v>
      </c>
      <c r="F278" s="2">
        <v>679123.61</v>
      </c>
      <c r="G278" s="2">
        <v>425257.92</v>
      </c>
      <c r="H278" s="2">
        <v>196104.93</v>
      </c>
      <c r="I278" s="2">
        <v>29247.91</v>
      </c>
      <c r="J278">
        <v>64</v>
      </c>
      <c r="K278">
        <v>6</v>
      </c>
      <c r="L278">
        <v>96</v>
      </c>
      <c r="M278">
        <v>2</v>
      </c>
      <c r="N278">
        <v>16</v>
      </c>
      <c r="O278" s="2">
        <v>43129.94</v>
      </c>
      <c r="P278" s="2">
        <v>111.14</v>
      </c>
      <c r="Q278" s="2">
        <v>105.78</v>
      </c>
    </row>
    <row r="279" spans="1:17" x14ac:dyDescent="0.45">
      <c r="A279" s="1">
        <v>44805</v>
      </c>
      <c r="B279">
        <v>2022</v>
      </c>
      <c r="C279">
        <v>12</v>
      </c>
      <c r="D279" t="s">
        <v>27</v>
      </c>
      <c r="E279" s="2">
        <v>25875000</v>
      </c>
      <c r="F279" s="2">
        <v>2238369.31</v>
      </c>
      <c r="G279" s="2">
        <v>1710211.18</v>
      </c>
      <c r="H279" s="2">
        <v>400414.78</v>
      </c>
      <c r="I279" s="2">
        <v>29643.06</v>
      </c>
      <c r="J279">
        <v>204</v>
      </c>
      <c r="K279">
        <v>15</v>
      </c>
      <c r="L279">
        <v>1032</v>
      </c>
      <c r="M279">
        <v>7</v>
      </c>
      <c r="N279">
        <v>34</v>
      </c>
      <c r="O279" s="2">
        <v>503677.92</v>
      </c>
      <c r="P279" s="2">
        <v>111.45</v>
      </c>
      <c r="Q279" s="2">
        <v>106.25</v>
      </c>
    </row>
    <row r="280" spans="1:17" x14ac:dyDescent="0.45">
      <c r="A280" s="1">
        <v>45536</v>
      </c>
      <c r="B280">
        <v>2024</v>
      </c>
      <c r="C280">
        <v>12</v>
      </c>
      <c r="D280" t="s">
        <v>20</v>
      </c>
      <c r="E280" s="2">
        <v>14968000</v>
      </c>
      <c r="F280" s="2">
        <v>1226160.69</v>
      </c>
      <c r="G280" s="2">
        <v>610872.17000000004</v>
      </c>
      <c r="H280" s="2">
        <v>557625.87</v>
      </c>
      <c r="I280" s="2">
        <v>70052.5</v>
      </c>
      <c r="J280">
        <v>80</v>
      </c>
      <c r="K280">
        <v>5</v>
      </c>
      <c r="L280">
        <v>112</v>
      </c>
      <c r="M280">
        <v>5</v>
      </c>
      <c r="N280">
        <v>25</v>
      </c>
      <c r="O280" s="2">
        <v>186989.11</v>
      </c>
      <c r="P280" s="2">
        <v>103.84</v>
      </c>
      <c r="Q280" s="2">
        <v>113.69</v>
      </c>
    </row>
    <row r="281" spans="1:17" x14ac:dyDescent="0.45">
      <c r="A281" s="1">
        <v>44256</v>
      </c>
      <c r="B281">
        <v>2021</v>
      </c>
      <c r="C281">
        <v>6</v>
      </c>
      <c r="D281" t="s">
        <v>24</v>
      </c>
      <c r="E281" s="2">
        <v>13500000</v>
      </c>
      <c r="F281" s="2">
        <v>1105767.29</v>
      </c>
      <c r="G281" s="2">
        <v>528591.79</v>
      </c>
      <c r="H281" s="2">
        <v>468043.95</v>
      </c>
      <c r="I281" s="2">
        <v>72522.320000000007</v>
      </c>
      <c r="J281">
        <v>77</v>
      </c>
      <c r="K281">
        <v>7</v>
      </c>
      <c r="L281">
        <v>34</v>
      </c>
      <c r="M281">
        <v>1</v>
      </c>
      <c r="N281">
        <v>14</v>
      </c>
      <c r="O281" s="2">
        <v>44820.06</v>
      </c>
      <c r="P281" s="2">
        <v>105.18</v>
      </c>
      <c r="Q281" s="2">
        <v>100.37</v>
      </c>
    </row>
    <row r="282" spans="1:17" x14ac:dyDescent="0.45">
      <c r="A282" s="1">
        <v>45505</v>
      </c>
      <c r="B282">
        <v>2024</v>
      </c>
      <c r="C282">
        <v>11</v>
      </c>
      <c r="D282" t="s">
        <v>27</v>
      </c>
      <c r="E282" s="2">
        <v>27718000</v>
      </c>
      <c r="F282" s="2">
        <v>2590133.8199999998</v>
      </c>
      <c r="G282" s="2">
        <v>1943160.07</v>
      </c>
      <c r="H282" s="2">
        <v>453864.81</v>
      </c>
      <c r="I282" s="2">
        <v>189698.18</v>
      </c>
      <c r="J282">
        <v>213</v>
      </c>
      <c r="K282">
        <v>19</v>
      </c>
      <c r="L282">
        <v>929</v>
      </c>
      <c r="M282">
        <v>12</v>
      </c>
      <c r="N282">
        <v>39</v>
      </c>
      <c r="O282" s="2">
        <v>760638.27</v>
      </c>
      <c r="P282" s="2">
        <v>102.31</v>
      </c>
      <c r="Q282" s="2">
        <v>114.57</v>
      </c>
    </row>
    <row r="283" spans="1:17" x14ac:dyDescent="0.45">
      <c r="A283" s="1">
        <v>44986</v>
      </c>
      <c r="B283">
        <v>2023</v>
      </c>
      <c r="C283">
        <v>6</v>
      </c>
      <c r="D283" t="s">
        <v>19</v>
      </c>
      <c r="E283" s="2">
        <v>5142000</v>
      </c>
      <c r="F283" s="2">
        <v>449360.56</v>
      </c>
      <c r="G283" s="2">
        <v>378891.15</v>
      </c>
      <c r="H283" s="2">
        <v>62525.5</v>
      </c>
      <c r="I283" s="2">
        <v>3039.35</v>
      </c>
      <c r="J283">
        <v>38</v>
      </c>
      <c r="K283">
        <v>0</v>
      </c>
      <c r="L283">
        <v>91</v>
      </c>
      <c r="M283">
        <v>2</v>
      </c>
      <c r="N283">
        <v>10</v>
      </c>
      <c r="O283" s="2">
        <v>18734.32</v>
      </c>
      <c r="P283" s="2">
        <v>104.83</v>
      </c>
      <c r="Q283" s="2">
        <v>107.58</v>
      </c>
    </row>
    <row r="284" spans="1:17" x14ac:dyDescent="0.45">
      <c r="A284" s="1">
        <v>44197</v>
      </c>
      <c r="B284">
        <v>2021</v>
      </c>
      <c r="C284">
        <v>4</v>
      </c>
      <c r="D284" t="s">
        <v>27</v>
      </c>
      <c r="E284" s="2">
        <v>25000000</v>
      </c>
      <c r="F284" s="2">
        <v>2070400.89</v>
      </c>
      <c r="G284" s="2">
        <v>1505472.56</v>
      </c>
      <c r="H284" s="2">
        <v>389237.79</v>
      </c>
      <c r="I284" s="2">
        <v>26618.3</v>
      </c>
      <c r="J284">
        <v>198</v>
      </c>
      <c r="K284">
        <v>17</v>
      </c>
      <c r="L284">
        <v>745</v>
      </c>
      <c r="M284">
        <v>5</v>
      </c>
      <c r="N284">
        <v>26</v>
      </c>
      <c r="O284" s="2">
        <v>231951.51</v>
      </c>
      <c r="P284" s="2">
        <v>99.77</v>
      </c>
      <c r="Q284" s="2">
        <v>99.6</v>
      </c>
    </row>
    <row r="285" spans="1:17" x14ac:dyDescent="0.45">
      <c r="A285" s="1">
        <v>45505</v>
      </c>
      <c r="B285">
        <v>2024</v>
      </c>
      <c r="C285">
        <v>11</v>
      </c>
      <c r="D285" t="s">
        <v>22</v>
      </c>
      <c r="E285" s="2">
        <v>6874000</v>
      </c>
      <c r="F285" s="2">
        <v>559476.39</v>
      </c>
      <c r="G285" s="2">
        <v>292379.48</v>
      </c>
      <c r="H285" s="2">
        <v>229122.36</v>
      </c>
      <c r="I285" s="2">
        <v>27927.08</v>
      </c>
      <c r="J285">
        <v>31</v>
      </c>
      <c r="K285">
        <v>5</v>
      </c>
      <c r="L285">
        <v>56</v>
      </c>
      <c r="M285">
        <v>3</v>
      </c>
      <c r="N285">
        <v>16</v>
      </c>
      <c r="O285" s="2">
        <v>56276.36</v>
      </c>
      <c r="P285" s="2">
        <v>102.34</v>
      </c>
      <c r="Q285" s="2">
        <v>113.42</v>
      </c>
    </row>
    <row r="286" spans="1:17" x14ac:dyDescent="0.45">
      <c r="A286" s="1">
        <v>45474</v>
      </c>
      <c r="B286">
        <v>2024</v>
      </c>
      <c r="C286">
        <v>10</v>
      </c>
      <c r="D286" t="s">
        <v>27</v>
      </c>
      <c r="E286" s="2">
        <v>27718000</v>
      </c>
      <c r="F286" s="2">
        <v>2300881.38</v>
      </c>
      <c r="G286" s="2">
        <v>1821409.55</v>
      </c>
      <c r="H286" s="2">
        <v>461921.92</v>
      </c>
      <c r="I286" s="2">
        <v>41590.239999999998</v>
      </c>
      <c r="J286">
        <v>207</v>
      </c>
      <c r="K286">
        <v>14</v>
      </c>
      <c r="L286">
        <v>887</v>
      </c>
      <c r="M286">
        <v>7</v>
      </c>
      <c r="N286">
        <v>32</v>
      </c>
      <c r="O286" s="2">
        <v>628416.42000000004</v>
      </c>
      <c r="P286" s="2">
        <v>104.66</v>
      </c>
      <c r="Q286" s="2">
        <v>112.36</v>
      </c>
    </row>
    <row r="287" spans="1:17" x14ac:dyDescent="0.45">
      <c r="A287" s="1">
        <v>44440</v>
      </c>
      <c r="B287">
        <v>2021</v>
      </c>
      <c r="C287">
        <v>12</v>
      </c>
      <c r="D287" t="s">
        <v>18</v>
      </c>
      <c r="E287" s="2">
        <v>3500000</v>
      </c>
      <c r="F287" s="2">
        <v>304141.73</v>
      </c>
      <c r="G287" s="2">
        <v>255416.22</v>
      </c>
      <c r="H287" s="2">
        <v>42480.87</v>
      </c>
      <c r="I287" s="2">
        <v>1964.41</v>
      </c>
      <c r="J287">
        <v>27</v>
      </c>
      <c r="K287">
        <v>4</v>
      </c>
      <c r="L287">
        <v>35</v>
      </c>
      <c r="M287">
        <v>3</v>
      </c>
      <c r="N287">
        <v>11</v>
      </c>
      <c r="O287" s="2">
        <v>31711.61</v>
      </c>
      <c r="P287" s="2">
        <v>111.7</v>
      </c>
      <c r="Q287" s="2">
        <v>101.86</v>
      </c>
    </row>
    <row r="288" spans="1:17" x14ac:dyDescent="0.45">
      <c r="A288" s="1">
        <v>45200</v>
      </c>
      <c r="B288">
        <v>2024</v>
      </c>
      <c r="C288">
        <v>1</v>
      </c>
      <c r="D288" t="s">
        <v>23</v>
      </c>
      <c r="E288" s="2">
        <v>21066000</v>
      </c>
      <c r="F288" s="2">
        <v>2375671.9500000002</v>
      </c>
      <c r="G288" s="2">
        <v>802953.71</v>
      </c>
      <c r="H288" s="2">
        <v>977439.64</v>
      </c>
      <c r="I288" s="2">
        <v>485414.15</v>
      </c>
      <c r="J288">
        <v>96</v>
      </c>
      <c r="K288">
        <v>9</v>
      </c>
      <c r="L288">
        <v>496</v>
      </c>
      <c r="M288">
        <v>5</v>
      </c>
      <c r="N288">
        <v>31</v>
      </c>
      <c r="O288" s="2">
        <v>248872.79</v>
      </c>
      <c r="P288" s="2">
        <v>99.69</v>
      </c>
      <c r="Q288" s="2">
        <v>110</v>
      </c>
    </row>
    <row r="289" spans="1:17" x14ac:dyDescent="0.45">
      <c r="A289" s="1">
        <v>44287</v>
      </c>
      <c r="B289">
        <v>2021</v>
      </c>
      <c r="C289">
        <v>7</v>
      </c>
      <c r="D289" t="s">
        <v>28</v>
      </c>
      <c r="E289" s="2">
        <v>22000000</v>
      </c>
      <c r="F289" s="2">
        <v>1840670.48</v>
      </c>
      <c r="G289" s="2">
        <v>1468650.55</v>
      </c>
      <c r="H289" s="2">
        <v>349279.29</v>
      </c>
      <c r="I289" s="2">
        <v>63334</v>
      </c>
      <c r="J289">
        <v>177</v>
      </c>
      <c r="K289">
        <v>15</v>
      </c>
      <c r="L289">
        <v>993</v>
      </c>
      <c r="M289">
        <v>10</v>
      </c>
      <c r="N289">
        <v>35</v>
      </c>
      <c r="O289" s="2">
        <v>480907.45</v>
      </c>
      <c r="P289" s="2">
        <v>103.77</v>
      </c>
      <c r="Q289" s="2">
        <v>100.64</v>
      </c>
    </row>
    <row r="290" spans="1:17" x14ac:dyDescent="0.45">
      <c r="A290" s="1">
        <v>44501</v>
      </c>
      <c r="B290">
        <v>2022</v>
      </c>
      <c r="C290">
        <v>2</v>
      </c>
      <c r="D290" t="s">
        <v>28</v>
      </c>
      <c r="E290" s="2">
        <v>22770000</v>
      </c>
      <c r="F290" s="2">
        <v>1923591.75</v>
      </c>
      <c r="G290" s="2">
        <v>1527930.6</v>
      </c>
      <c r="H290" s="2">
        <v>400644.71</v>
      </c>
      <c r="I290" s="2">
        <v>59635.08</v>
      </c>
      <c r="J290">
        <v>174</v>
      </c>
      <c r="K290">
        <v>12</v>
      </c>
      <c r="L290">
        <v>734</v>
      </c>
      <c r="M290">
        <v>8</v>
      </c>
      <c r="N290">
        <v>34</v>
      </c>
      <c r="O290" s="2"/>
      <c r="P290" s="2">
        <v>108.88</v>
      </c>
      <c r="Q290" s="2">
        <v>103.33</v>
      </c>
    </row>
    <row r="291" spans="1:17" x14ac:dyDescent="0.45">
      <c r="A291" s="1">
        <v>45261</v>
      </c>
      <c r="B291">
        <v>2024</v>
      </c>
      <c r="C291">
        <v>3</v>
      </c>
      <c r="D291" t="s">
        <v>21</v>
      </c>
      <c r="E291" s="2">
        <v>8870000</v>
      </c>
      <c r="F291" s="2">
        <v>762062.26</v>
      </c>
      <c r="G291" s="2">
        <v>488321.72</v>
      </c>
      <c r="H291" s="2">
        <v>262589.65999999997</v>
      </c>
      <c r="I291" s="2">
        <v>15552.43</v>
      </c>
      <c r="J291">
        <v>66</v>
      </c>
      <c r="K291">
        <v>7</v>
      </c>
      <c r="L291">
        <v>94</v>
      </c>
      <c r="M291">
        <v>4</v>
      </c>
      <c r="N291">
        <v>19</v>
      </c>
      <c r="O291" s="2"/>
      <c r="P291" s="2">
        <v>101.58</v>
      </c>
      <c r="Q291" s="2">
        <v>110.92</v>
      </c>
    </row>
    <row r="292" spans="1:17" x14ac:dyDescent="0.45">
      <c r="A292" s="1">
        <v>44927</v>
      </c>
      <c r="B292">
        <v>2023</v>
      </c>
      <c r="C292">
        <v>4</v>
      </c>
      <c r="D292" t="s">
        <v>25</v>
      </c>
      <c r="E292" s="2">
        <v>4499000</v>
      </c>
      <c r="F292" s="2">
        <v>407333.69</v>
      </c>
      <c r="G292" s="2">
        <v>302678.28000000003</v>
      </c>
      <c r="H292" s="2">
        <v>57527.94</v>
      </c>
      <c r="I292" s="2">
        <v>42736.76</v>
      </c>
      <c r="J292">
        <v>31</v>
      </c>
      <c r="K292">
        <v>6</v>
      </c>
      <c r="L292">
        <v>44</v>
      </c>
      <c r="M292">
        <v>2</v>
      </c>
      <c r="N292">
        <v>11</v>
      </c>
      <c r="O292" s="2">
        <v>21995.68</v>
      </c>
      <c r="P292" s="2">
        <v>108</v>
      </c>
      <c r="Q292" s="2">
        <v>107.25</v>
      </c>
    </row>
    <row r="293" spans="1:17" x14ac:dyDescent="0.45">
      <c r="A293" s="1">
        <v>45809</v>
      </c>
      <c r="B293">
        <v>2025</v>
      </c>
      <c r="C293">
        <v>9</v>
      </c>
      <c r="D293" t="s">
        <v>23</v>
      </c>
      <c r="E293" s="2">
        <v>21803000</v>
      </c>
      <c r="F293" s="2">
        <v>2164350.67</v>
      </c>
      <c r="G293" s="2">
        <v>895433.77</v>
      </c>
      <c r="H293" s="2">
        <v>811990.28</v>
      </c>
      <c r="I293" s="2">
        <v>340604.73</v>
      </c>
      <c r="J293">
        <v>100</v>
      </c>
      <c r="K293">
        <v>6</v>
      </c>
      <c r="L293">
        <v>477</v>
      </c>
      <c r="M293">
        <v>6</v>
      </c>
      <c r="N293">
        <v>30</v>
      </c>
      <c r="O293" s="2">
        <v>307164.15000000002</v>
      </c>
      <c r="P293" s="2">
        <v>116.96</v>
      </c>
      <c r="Q293" s="2">
        <v>117.29</v>
      </c>
    </row>
    <row r="294" spans="1:17" x14ac:dyDescent="0.45">
      <c r="A294" s="1">
        <v>45108</v>
      </c>
      <c r="B294">
        <v>2023</v>
      </c>
      <c r="C294">
        <v>10</v>
      </c>
      <c r="D294" t="s">
        <v>24</v>
      </c>
      <c r="E294" s="2">
        <v>14462000</v>
      </c>
      <c r="F294" s="2">
        <v>1102514.31</v>
      </c>
      <c r="G294" s="2">
        <v>562688.30000000005</v>
      </c>
      <c r="H294" s="2">
        <v>447924.09</v>
      </c>
      <c r="I294" s="2">
        <v>77349.09</v>
      </c>
      <c r="J294">
        <v>76</v>
      </c>
      <c r="K294">
        <v>6</v>
      </c>
      <c r="L294">
        <v>109</v>
      </c>
      <c r="M294">
        <v>4</v>
      </c>
      <c r="N294">
        <v>21</v>
      </c>
      <c r="O294" s="2">
        <v>134322.13</v>
      </c>
      <c r="P294" s="2">
        <v>102.19</v>
      </c>
      <c r="Q294" s="2">
        <v>109.35</v>
      </c>
    </row>
    <row r="295" spans="1:17" x14ac:dyDescent="0.45">
      <c r="A295" s="1">
        <v>44986</v>
      </c>
      <c r="B295">
        <v>2023</v>
      </c>
      <c r="C295">
        <v>6</v>
      </c>
      <c r="D295" t="s">
        <v>25</v>
      </c>
      <c r="E295" s="2">
        <v>4499000</v>
      </c>
      <c r="F295" s="2">
        <v>365981.27</v>
      </c>
      <c r="G295" s="2">
        <v>292867.74</v>
      </c>
      <c r="H295" s="2">
        <v>61325.599999999999</v>
      </c>
      <c r="I295" s="2">
        <v>4410.37</v>
      </c>
      <c r="J295">
        <v>31</v>
      </c>
      <c r="K295">
        <v>5</v>
      </c>
      <c r="L295">
        <v>27</v>
      </c>
      <c r="M295">
        <v>1</v>
      </c>
      <c r="N295">
        <v>14</v>
      </c>
      <c r="O295" s="2">
        <v>22076.71</v>
      </c>
      <c r="P295" s="2">
        <v>104</v>
      </c>
      <c r="Q295" s="2">
        <v>108.48</v>
      </c>
    </row>
    <row r="296" spans="1:17" x14ac:dyDescent="0.45">
      <c r="A296" s="1">
        <v>44896</v>
      </c>
      <c r="B296">
        <v>2023</v>
      </c>
      <c r="C296">
        <v>3</v>
      </c>
      <c r="D296" t="s">
        <v>22</v>
      </c>
      <c r="E296" s="2">
        <v>6642000</v>
      </c>
      <c r="F296" s="2">
        <v>632970.69999999995</v>
      </c>
      <c r="G296" s="2">
        <v>286428.53000000003</v>
      </c>
      <c r="H296" s="2">
        <v>308650.56</v>
      </c>
      <c r="I296" s="2">
        <v>23155.85</v>
      </c>
      <c r="J296">
        <v>31</v>
      </c>
      <c r="K296">
        <v>2</v>
      </c>
      <c r="L296">
        <v>72</v>
      </c>
      <c r="M296">
        <v>4</v>
      </c>
      <c r="N296">
        <v>18</v>
      </c>
      <c r="O296" s="2">
        <v>63997.89</v>
      </c>
      <c r="P296" s="2">
        <v>107.81</v>
      </c>
      <c r="Q296" s="2">
        <v>106.46</v>
      </c>
    </row>
    <row r="297" spans="1:17" x14ac:dyDescent="0.45">
      <c r="A297" s="1">
        <v>45839</v>
      </c>
      <c r="B297">
        <v>2025</v>
      </c>
      <c r="C297">
        <v>10</v>
      </c>
      <c r="D297" t="s">
        <v>23</v>
      </c>
      <c r="E297" s="2">
        <v>21803000</v>
      </c>
      <c r="F297" s="2">
        <v>1715517.96</v>
      </c>
      <c r="G297" s="2">
        <v>882556.43</v>
      </c>
      <c r="H297" s="2">
        <v>784761.27</v>
      </c>
      <c r="I297" s="2">
        <v>122441.04</v>
      </c>
      <c r="J297">
        <v>98</v>
      </c>
      <c r="K297">
        <v>5</v>
      </c>
      <c r="L297">
        <v>428</v>
      </c>
      <c r="M297">
        <v>5</v>
      </c>
      <c r="N297">
        <v>26</v>
      </c>
      <c r="O297" s="2">
        <v>287072</v>
      </c>
      <c r="P297" s="2">
        <v>119.67</v>
      </c>
      <c r="Q297" s="2">
        <v>117.95</v>
      </c>
    </row>
    <row r="298" spans="1:17" x14ac:dyDescent="0.45">
      <c r="A298" s="1">
        <v>45413</v>
      </c>
      <c r="B298">
        <v>2024</v>
      </c>
      <c r="C298">
        <v>8</v>
      </c>
      <c r="D298" t="s">
        <v>23</v>
      </c>
      <c r="E298" s="2">
        <v>21066000</v>
      </c>
      <c r="F298" s="2">
        <v>1923864.66</v>
      </c>
      <c r="G298" s="2">
        <v>796996.33</v>
      </c>
      <c r="H298" s="2">
        <v>829762.56000000006</v>
      </c>
      <c r="I298" s="2">
        <v>335660.71</v>
      </c>
      <c r="J298">
        <v>100</v>
      </c>
      <c r="K298">
        <v>5</v>
      </c>
      <c r="L298">
        <v>392</v>
      </c>
      <c r="M298">
        <v>6</v>
      </c>
      <c r="N298">
        <v>22</v>
      </c>
      <c r="O298" s="2">
        <v>230396.36</v>
      </c>
      <c r="P298" s="2">
        <v>103.09</v>
      </c>
      <c r="Q298" s="2">
        <v>112.35</v>
      </c>
    </row>
    <row r="299" spans="1:17" x14ac:dyDescent="0.45">
      <c r="A299" s="1">
        <v>45748</v>
      </c>
      <c r="B299">
        <v>2025</v>
      </c>
      <c r="C299">
        <v>7</v>
      </c>
      <c r="D299" t="s">
        <v>18</v>
      </c>
      <c r="E299" s="2">
        <v>4016000</v>
      </c>
      <c r="F299" s="2">
        <v>371151.27</v>
      </c>
      <c r="G299" s="2">
        <v>304771.93</v>
      </c>
      <c r="H299" s="2">
        <v>50666.89</v>
      </c>
      <c r="I299" s="2">
        <v>19027.830000000002</v>
      </c>
      <c r="J299">
        <v>28</v>
      </c>
      <c r="K299">
        <v>4</v>
      </c>
      <c r="L299">
        <v>30</v>
      </c>
      <c r="M299">
        <v>3</v>
      </c>
      <c r="N299">
        <v>17</v>
      </c>
      <c r="O299" s="2">
        <v>40500.29</v>
      </c>
      <c r="P299" s="2">
        <v>116.87</v>
      </c>
      <c r="Q299" s="2">
        <v>116.25</v>
      </c>
    </row>
    <row r="300" spans="1:17" x14ac:dyDescent="0.45">
      <c r="A300" s="1">
        <v>45778</v>
      </c>
      <c r="B300">
        <v>2025</v>
      </c>
      <c r="C300">
        <v>8</v>
      </c>
      <c r="D300" t="s">
        <v>17</v>
      </c>
      <c r="E300" s="2">
        <v>8377000</v>
      </c>
      <c r="F300" s="2">
        <v>681791.99</v>
      </c>
      <c r="G300" s="2">
        <v>350159.51</v>
      </c>
      <c r="H300" s="2">
        <v>307156.73</v>
      </c>
      <c r="I300" s="2">
        <v>14307.44</v>
      </c>
      <c r="J300">
        <v>43</v>
      </c>
      <c r="K300">
        <v>0</v>
      </c>
      <c r="L300">
        <v>36</v>
      </c>
      <c r="M300">
        <v>2</v>
      </c>
      <c r="N300">
        <v>11</v>
      </c>
      <c r="O300" s="2">
        <v>51698.91</v>
      </c>
      <c r="P300" s="2">
        <v>111.14</v>
      </c>
      <c r="Q300" s="2">
        <v>117</v>
      </c>
    </row>
    <row r="301" spans="1:17" x14ac:dyDescent="0.45">
      <c r="A301" s="1">
        <v>44743</v>
      </c>
      <c r="B301">
        <v>2022</v>
      </c>
      <c r="C301">
        <v>10</v>
      </c>
      <c r="D301" t="s">
        <v>28</v>
      </c>
      <c r="E301" s="2">
        <v>22770000</v>
      </c>
      <c r="F301" s="2">
        <v>1873208.24</v>
      </c>
      <c r="G301" s="2">
        <v>1501731.18</v>
      </c>
      <c r="H301" s="2">
        <v>371253.25</v>
      </c>
      <c r="I301" s="2">
        <v>31114.43</v>
      </c>
      <c r="J301">
        <v>178</v>
      </c>
      <c r="K301">
        <v>13</v>
      </c>
      <c r="L301">
        <v>687</v>
      </c>
      <c r="M301">
        <v>7</v>
      </c>
      <c r="N301">
        <v>30</v>
      </c>
      <c r="O301" s="2">
        <v>335189.87</v>
      </c>
      <c r="P301" s="2">
        <v>108.2</v>
      </c>
      <c r="Q301" s="2">
        <v>104.58</v>
      </c>
    </row>
    <row r="302" spans="1:17" x14ac:dyDescent="0.45">
      <c r="A302" s="1">
        <v>44440</v>
      </c>
      <c r="B302">
        <v>2021</v>
      </c>
      <c r="C302">
        <v>12</v>
      </c>
      <c r="D302" t="s">
        <v>28</v>
      </c>
      <c r="E302" s="2">
        <v>22000000</v>
      </c>
      <c r="F302" s="2">
        <v>1868544.06</v>
      </c>
      <c r="G302" s="2">
        <v>1427517.39</v>
      </c>
      <c r="H302" s="2">
        <v>376112.35</v>
      </c>
      <c r="I302" s="2">
        <v>55207.13</v>
      </c>
      <c r="J302">
        <v>173</v>
      </c>
      <c r="K302">
        <v>15</v>
      </c>
      <c r="L302">
        <v>590</v>
      </c>
      <c r="M302">
        <v>8</v>
      </c>
      <c r="N302">
        <v>34</v>
      </c>
      <c r="O302" s="2">
        <v>326924.09000000003</v>
      </c>
      <c r="P302" s="2">
        <v>109.5</v>
      </c>
      <c r="Q302" s="2">
        <v>102.64</v>
      </c>
    </row>
    <row r="303" spans="1:17" x14ac:dyDescent="0.45">
      <c r="A303" s="1">
        <v>44440</v>
      </c>
      <c r="B303">
        <v>2021</v>
      </c>
      <c r="C303">
        <v>12</v>
      </c>
      <c r="D303" t="s">
        <v>17</v>
      </c>
      <c r="E303" s="2">
        <v>7300000</v>
      </c>
      <c r="F303" s="2">
        <v>588106.22</v>
      </c>
      <c r="G303" s="2">
        <v>301718.83</v>
      </c>
      <c r="H303" s="2">
        <v>253707.59</v>
      </c>
      <c r="I303" s="2">
        <v>39315.26</v>
      </c>
      <c r="J303">
        <v>43</v>
      </c>
      <c r="K303">
        <v>6</v>
      </c>
      <c r="L303">
        <v>22</v>
      </c>
      <c r="M303">
        <v>4</v>
      </c>
      <c r="N303">
        <v>18</v>
      </c>
      <c r="O303" s="2">
        <v>71731.37</v>
      </c>
      <c r="P303" s="2">
        <v>115.08</v>
      </c>
      <c r="Q303" s="2">
        <v>102.24</v>
      </c>
    </row>
    <row r="304" spans="1:17" x14ac:dyDescent="0.45">
      <c r="A304" s="1">
        <v>45231</v>
      </c>
      <c r="B304">
        <v>2024</v>
      </c>
      <c r="C304">
        <v>2</v>
      </c>
      <c r="D304" t="s">
        <v>22</v>
      </c>
      <c r="E304" s="2">
        <v>6874000</v>
      </c>
      <c r="F304" s="2">
        <v>607386.64</v>
      </c>
      <c r="G304" s="2">
        <v>299411.63</v>
      </c>
      <c r="H304" s="2">
        <v>276577.53999999998</v>
      </c>
      <c r="I304" s="2">
        <v>21702.23</v>
      </c>
      <c r="J304">
        <v>31</v>
      </c>
      <c r="K304">
        <v>2</v>
      </c>
      <c r="L304">
        <v>56</v>
      </c>
      <c r="M304">
        <v>1</v>
      </c>
      <c r="N304">
        <v>7</v>
      </c>
      <c r="O304" s="2">
        <v>19457.2</v>
      </c>
      <c r="P304" s="2">
        <v>104.67</v>
      </c>
      <c r="Q304" s="2">
        <v>110.24</v>
      </c>
    </row>
    <row r="305" spans="1:17" x14ac:dyDescent="0.45">
      <c r="A305" s="1">
        <v>45901</v>
      </c>
      <c r="B305">
        <v>2025</v>
      </c>
      <c r="C305">
        <v>12</v>
      </c>
      <c r="D305" t="s">
        <v>17</v>
      </c>
      <c r="E305" s="2">
        <v>8377000</v>
      </c>
      <c r="F305" s="2">
        <v>699913.93</v>
      </c>
      <c r="G305" s="2">
        <v>359180.69</v>
      </c>
      <c r="H305" s="2">
        <v>299040.18</v>
      </c>
      <c r="I305" s="2">
        <v>37131.019999999997</v>
      </c>
      <c r="J305">
        <v>44</v>
      </c>
      <c r="K305">
        <v>3</v>
      </c>
      <c r="L305">
        <v>26</v>
      </c>
      <c r="M305">
        <v>2</v>
      </c>
      <c r="N305">
        <v>19</v>
      </c>
      <c r="O305" s="2">
        <v>45467.79</v>
      </c>
      <c r="P305" s="2">
        <v>121.19</v>
      </c>
      <c r="Q305" s="2">
        <v>117.82</v>
      </c>
    </row>
    <row r="306" spans="1:17" x14ac:dyDescent="0.45">
      <c r="A306" s="1">
        <v>44743</v>
      </c>
      <c r="B306">
        <v>2022</v>
      </c>
      <c r="C306">
        <v>10</v>
      </c>
      <c r="D306" t="s">
        <v>18</v>
      </c>
      <c r="E306" s="2">
        <v>3622000</v>
      </c>
      <c r="F306" s="2">
        <v>306741.24</v>
      </c>
      <c r="G306" s="2">
        <v>258331.42</v>
      </c>
      <c r="H306" s="2">
        <v>39861.919999999998</v>
      </c>
      <c r="I306" s="2">
        <v>7285.32</v>
      </c>
      <c r="J306">
        <v>28</v>
      </c>
      <c r="L306">
        <v>38</v>
      </c>
      <c r="M306">
        <v>3</v>
      </c>
      <c r="N306">
        <v>13</v>
      </c>
      <c r="O306" s="2">
        <v>30905.64</v>
      </c>
      <c r="P306" s="2">
        <v>106.71</v>
      </c>
      <c r="Q306" s="2">
        <v>105.21</v>
      </c>
    </row>
    <row r="307" spans="1:17" x14ac:dyDescent="0.45">
      <c r="A307" s="1">
        <v>45505</v>
      </c>
      <c r="B307">
        <v>2024</v>
      </c>
      <c r="C307">
        <v>11</v>
      </c>
      <c r="D307" t="s">
        <v>23</v>
      </c>
      <c r="E307" s="2">
        <v>21066000</v>
      </c>
      <c r="F307" s="2">
        <v>1472647.44</v>
      </c>
      <c r="G307" s="2">
        <v>772481.4</v>
      </c>
      <c r="H307" s="2">
        <v>597298.31000000006</v>
      </c>
      <c r="I307" s="2">
        <v>92097.84</v>
      </c>
      <c r="J307">
        <v>95</v>
      </c>
      <c r="K307">
        <v>8</v>
      </c>
      <c r="L307">
        <v>366</v>
      </c>
      <c r="M307">
        <v>7</v>
      </c>
      <c r="N307">
        <v>24</v>
      </c>
      <c r="O307" s="2">
        <v>403207.83</v>
      </c>
      <c r="P307" s="2">
        <v>102.89</v>
      </c>
      <c r="Q307" s="2">
        <v>113.06</v>
      </c>
    </row>
    <row r="308" spans="1:17" x14ac:dyDescent="0.45">
      <c r="A308" s="1">
        <v>44593</v>
      </c>
      <c r="B308">
        <v>2022</v>
      </c>
      <c r="C308">
        <v>5</v>
      </c>
      <c r="D308" t="s">
        <v>29</v>
      </c>
      <c r="E308" s="2">
        <v>22770000</v>
      </c>
      <c r="F308" s="2">
        <v>1903467.54</v>
      </c>
      <c r="G308" s="2">
        <v>1598828.65</v>
      </c>
      <c r="H308" s="2">
        <v>363064.78</v>
      </c>
      <c r="I308" s="2">
        <v>38647.11</v>
      </c>
      <c r="J308">
        <v>180</v>
      </c>
      <c r="K308">
        <v>9</v>
      </c>
      <c r="L308">
        <v>851</v>
      </c>
      <c r="M308">
        <v>8</v>
      </c>
      <c r="N308">
        <v>33</v>
      </c>
      <c r="O308" s="2">
        <v>549569.73</v>
      </c>
      <c r="P308" s="2">
        <v>112.04</v>
      </c>
      <c r="Q308" s="2">
        <v>102.9</v>
      </c>
    </row>
    <row r="309" spans="1:17" x14ac:dyDescent="0.45">
      <c r="A309" s="1">
        <v>45200</v>
      </c>
      <c r="B309">
        <v>2024</v>
      </c>
      <c r="C309">
        <v>1</v>
      </c>
      <c r="D309" t="s">
        <v>24</v>
      </c>
      <c r="E309" s="2">
        <v>14968000</v>
      </c>
      <c r="F309" s="2">
        <v>1240184.1100000001</v>
      </c>
      <c r="G309" s="2">
        <v>631408.47</v>
      </c>
      <c r="H309" s="2">
        <v>564338.66</v>
      </c>
      <c r="I309" s="2">
        <v>82238.11</v>
      </c>
      <c r="J309">
        <v>80</v>
      </c>
      <c r="K309">
        <v>1</v>
      </c>
      <c r="L309">
        <v>90</v>
      </c>
      <c r="M309">
        <v>5</v>
      </c>
      <c r="N309">
        <v>24</v>
      </c>
      <c r="O309" s="2">
        <v>144885.06</v>
      </c>
      <c r="P309" s="2">
        <v>101.23</v>
      </c>
      <c r="Q309" s="2">
        <v>111.24</v>
      </c>
    </row>
    <row r="310" spans="1:17" x14ac:dyDescent="0.45">
      <c r="A310" s="1">
        <v>44348</v>
      </c>
      <c r="B310">
        <v>2021</v>
      </c>
      <c r="C310">
        <v>9</v>
      </c>
      <c r="D310" t="s">
        <v>24</v>
      </c>
      <c r="E310" s="2">
        <v>13500000</v>
      </c>
      <c r="F310" s="2">
        <v>1234596.2</v>
      </c>
      <c r="G310" s="2">
        <v>532377.59999999998</v>
      </c>
      <c r="H310" s="2">
        <v>496014.49</v>
      </c>
      <c r="I310" s="2">
        <v>208706.06</v>
      </c>
      <c r="J310">
        <v>79</v>
      </c>
      <c r="K310">
        <v>5</v>
      </c>
      <c r="L310">
        <v>75</v>
      </c>
      <c r="M310">
        <v>5</v>
      </c>
      <c r="N310">
        <v>25</v>
      </c>
      <c r="O310" s="2">
        <v>133777.89000000001</v>
      </c>
      <c r="P310" s="2">
        <v>106.8</v>
      </c>
      <c r="Q310" s="2">
        <v>100.52</v>
      </c>
    </row>
    <row r="311" spans="1:17" x14ac:dyDescent="0.45">
      <c r="A311" s="1">
        <v>44440</v>
      </c>
      <c r="B311">
        <v>2021</v>
      </c>
      <c r="C311">
        <v>12</v>
      </c>
      <c r="D311" t="s">
        <v>16</v>
      </c>
      <c r="E311" s="2">
        <v>6200000</v>
      </c>
      <c r="F311" s="2">
        <v>462939.16</v>
      </c>
      <c r="G311" s="2">
        <v>249393.34</v>
      </c>
      <c r="H311" s="2">
        <v>208449.55</v>
      </c>
      <c r="I311" s="2">
        <v>14829.34</v>
      </c>
      <c r="J311">
        <v>30</v>
      </c>
      <c r="K311">
        <v>5</v>
      </c>
      <c r="L311">
        <v>67</v>
      </c>
      <c r="M311">
        <v>5</v>
      </c>
      <c r="N311">
        <v>22</v>
      </c>
      <c r="O311" s="2">
        <v>64015.63</v>
      </c>
      <c r="P311" s="2">
        <v>110.01</v>
      </c>
      <c r="Q311" s="2">
        <v>102.43</v>
      </c>
    </row>
    <row r="312" spans="1:17" x14ac:dyDescent="0.45">
      <c r="A312" s="1">
        <v>44501</v>
      </c>
      <c r="B312">
        <v>2022</v>
      </c>
      <c r="C312">
        <v>2</v>
      </c>
      <c r="D312" t="s">
        <v>25</v>
      </c>
      <c r="E312" s="2">
        <v>4347000</v>
      </c>
      <c r="F312" s="2">
        <v>385758.09</v>
      </c>
      <c r="G312" s="2">
        <v>305134.8</v>
      </c>
      <c r="H312" s="2">
        <v>64921.22</v>
      </c>
      <c r="I312" s="2">
        <v>4822.6000000000004</v>
      </c>
      <c r="J312">
        <v>32</v>
      </c>
      <c r="K312">
        <v>6</v>
      </c>
      <c r="L312">
        <v>56</v>
      </c>
      <c r="M312">
        <v>4</v>
      </c>
      <c r="N312">
        <v>16</v>
      </c>
      <c r="O312" s="2">
        <v>53844.55</v>
      </c>
      <c r="P312" s="2">
        <v>110.43</v>
      </c>
      <c r="Q312" s="2">
        <v>102.27</v>
      </c>
    </row>
    <row r="313" spans="1:17" x14ac:dyDescent="0.45">
      <c r="A313" s="1">
        <v>45261</v>
      </c>
      <c r="B313">
        <v>2024</v>
      </c>
      <c r="C313">
        <v>3</v>
      </c>
      <c r="D313" t="s">
        <v>23</v>
      </c>
      <c r="E313" s="2">
        <v>21066000</v>
      </c>
      <c r="F313" s="2">
        <v>2400708.29</v>
      </c>
      <c r="G313" s="2">
        <v>847805.96</v>
      </c>
      <c r="H313" s="2">
        <v>1150748.6000000001</v>
      </c>
      <c r="I313" s="2">
        <v>469213.92</v>
      </c>
      <c r="J313">
        <v>94</v>
      </c>
      <c r="K313">
        <v>6</v>
      </c>
      <c r="L313">
        <v>437</v>
      </c>
      <c r="M313">
        <v>9</v>
      </c>
      <c r="N313">
        <v>35</v>
      </c>
      <c r="O313" s="2">
        <v>415625.55</v>
      </c>
      <c r="P313" s="2">
        <v>102.47</v>
      </c>
      <c r="Q313" s="2">
        <v>110.86</v>
      </c>
    </row>
    <row r="314" spans="1:17" x14ac:dyDescent="0.45">
      <c r="A314" s="1">
        <v>45597</v>
      </c>
      <c r="B314">
        <v>2025</v>
      </c>
      <c r="C314">
        <v>2</v>
      </c>
      <c r="D314" t="s">
        <v>22</v>
      </c>
      <c r="E314" s="2">
        <v>7115000</v>
      </c>
      <c r="F314" s="2">
        <v>705526.3</v>
      </c>
      <c r="G314" s="2">
        <v>291962.3</v>
      </c>
      <c r="H314" s="2">
        <v>267498.12</v>
      </c>
      <c r="I314" s="2">
        <v>154231.43</v>
      </c>
      <c r="J314">
        <v>30</v>
      </c>
      <c r="K314">
        <v>1</v>
      </c>
      <c r="L314">
        <v>9</v>
      </c>
      <c r="M314">
        <v>2</v>
      </c>
      <c r="N314">
        <v>11</v>
      </c>
      <c r="O314" s="2">
        <v>29725.96</v>
      </c>
      <c r="P314" s="2">
        <v>106.61</v>
      </c>
      <c r="Q314" s="2">
        <v>114.31</v>
      </c>
    </row>
    <row r="315" spans="1:17" x14ac:dyDescent="0.45">
      <c r="A315" s="1">
        <v>44562</v>
      </c>
      <c r="B315">
        <v>2022</v>
      </c>
      <c r="C315">
        <v>4</v>
      </c>
      <c r="D315" t="s">
        <v>27</v>
      </c>
      <c r="E315" s="2">
        <v>25875000</v>
      </c>
      <c r="F315" s="2">
        <v>2191830.84</v>
      </c>
      <c r="G315" s="2">
        <v>1712494.28</v>
      </c>
      <c r="H315" s="2">
        <v>462919.28</v>
      </c>
      <c r="I315" s="2">
        <v>44200.55</v>
      </c>
      <c r="J315">
        <v>213</v>
      </c>
      <c r="K315">
        <v>16</v>
      </c>
      <c r="L315">
        <v>843</v>
      </c>
      <c r="M315">
        <v>9</v>
      </c>
      <c r="N315">
        <v>33</v>
      </c>
      <c r="O315" s="2">
        <v>475919.42</v>
      </c>
      <c r="P315" s="2">
        <v>108.21</v>
      </c>
      <c r="Q315" s="2">
        <v>103.62</v>
      </c>
    </row>
    <row r="316" spans="1:17" x14ac:dyDescent="0.45">
      <c r="A316" s="1">
        <v>44470</v>
      </c>
      <c r="B316">
        <v>2022</v>
      </c>
      <c r="C316">
        <v>1</v>
      </c>
      <c r="D316" t="s">
        <v>19</v>
      </c>
      <c r="E316" s="2">
        <v>4968000</v>
      </c>
      <c r="F316" s="2">
        <v>424902.15</v>
      </c>
      <c r="G316" s="2">
        <v>341422.5</v>
      </c>
      <c r="H316" s="2">
        <v>71317.08</v>
      </c>
      <c r="I316" s="2">
        <v>8628.9500000000007</v>
      </c>
      <c r="J316">
        <v>35</v>
      </c>
      <c r="K316">
        <v>0</v>
      </c>
      <c r="L316">
        <v>73</v>
      </c>
      <c r="M316">
        <v>0</v>
      </c>
      <c r="N316">
        <v>9</v>
      </c>
      <c r="O316" s="2">
        <v>8206.33</v>
      </c>
      <c r="P316" s="2">
        <v>108.35</v>
      </c>
      <c r="Q316" s="2">
        <v>102.9</v>
      </c>
    </row>
    <row r="317" spans="1:17" x14ac:dyDescent="0.45">
      <c r="A317" s="1">
        <v>44805</v>
      </c>
      <c r="B317">
        <v>2022</v>
      </c>
      <c r="C317">
        <v>12</v>
      </c>
      <c r="D317" t="s">
        <v>24</v>
      </c>
      <c r="E317" s="2">
        <v>13972000</v>
      </c>
      <c r="F317" s="2">
        <v>1096352.53</v>
      </c>
      <c r="G317" s="2">
        <v>588589.96</v>
      </c>
      <c r="H317" s="2">
        <v>458347.26</v>
      </c>
      <c r="I317" s="2">
        <v>31973</v>
      </c>
      <c r="J317">
        <v>79</v>
      </c>
      <c r="K317">
        <v>3</v>
      </c>
      <c r="L317">
        <v>150</v>
      </c>
      <c r="M317">
        <v>7</v>
      </c>
      <c r="N317">
        <v>21</v>
      </c>
      <c r="O317" s="2">
        <v>282766.25</v>
      </c>
      <c r="P317" s="2">
        <v>107.59</v>
      </c>
      <c r="Q317" s="2">
        <v>105.92</v>
      </c>
    </row>
    <row r="318" spans="1:17" x14ac:dyDescent="0.45">
      <c r="A318" s="1">
        <v>44958</v>
      </c>
      <c r="B318">
        <v>2023</v>
      </c>
      <c r="C318">
        <v>5</v>
      </c>
      <c r="D318" t="s">
        <v>17</v>
      </c>
      <c r="E318" s="2">
        <v>7820000</v>
      </c>
      <c r="F318" s="2">
        <v>635438.54</v>
      </c>
      <c r="G318" s="2">
        <v>357123.82</v>
      </c>
      <c r="H318" s="2">
        <v>249376.94</v>
      </c>
      <c r="I318" s="2">
        <v>28057.78</v>
      </c>
      <c r="J318">
        <v>46</v>
      </c>
      <c r="K318">
        <v>3</v>
      </c>
      <c r="L318">
        <v>0</v>
      </c>
      <c r="M318">
        <v>0</v>
      </c>
      <c r="N318">
        <v>11</v>
      </c>
      <c r="O318" s="2">
        <v>13534.25</v>
      </c>
      <c r="P318" s="2">
        <v>107.39</v>
      </c>
      <c r="Q318" s="2">
        <v>108.46</v>
      </c>
    </row>
    <row r="319" spans="1:17" x14ac:dyDescent="0.45">
      <c r="A319" s="1">
        <v>45717</v>
      </c>
      <c r="B319">
        <v>2025</v>
      </c>
      <c r="C319">
        <v>6</v>
      </c>
      <c r="D319" t="s">
        <v>25</v>
      </c>
      <c r="E319" s="2">
        <v>4820000</v>
      </c>
      <c r="F319" s="2">
        <v>414678.17</v>
      </c>
      <c r="G319" s="2">
        <v>347971.61</v>
      </c>
      <c r="H319" s="2">
        <v>67281.08</v>
      </c>
      <c r="I319" s="2">
        <v>4361.8</v>
      </c>
      <c r="J319">
        <v>34</v>
      </c>
      <c r="K319">
        <v>1</v>
      </c>
      <c r="L319">
        <v>42</v>
      </c>
      <c r="M319">
        <v>4</v>
      </c>
      <c r="N319">
        <v>16</v>
      </c>
      <c r="O319" s="2">
        <v>54025.07</v>
      </c>
      <c r="P319" s="2">
        <v>112.57</v>
      </c>
      <c r="Q319" s="2">
        <v>115.84</v>
      </c>
    </row>
    <row r="320" spans="1:17" x14ac:dyDescent="0.45">
      <c r="A320" s="1">
        <v>44743</v>
      </c>
      <c r="B320">
        <v>2022</v>
      </c>
      <c r="C320">
        <v>10</v>
      </c>
      <c r="D320" t="s">
        <v>25</v>
      </c>
      <c r="E320" s="2">
        <v>4347000</v>
      </c>
      <c r="F320" s="2">
        <v>350896.04</v>
      </c>
      <c r="G320" s="2">
        <v>286749.49</v>
      </c>
      <c r="H320" s="2">
        <v>57696.39</v>
      </c>
      <c r="I320" s="2">
        <v>10005.26</v>
      </c>
      <c r="J320">
        <v>33</v>
      </c>
      <c r="K320">
        <v>4</v>
      </c>
      <c r="L320">
        <v>31</v>
      </c>
      <c r="M320">
        <v>1</v>
      </c>
      <c r="N320">
        <v>18</v>
      </c>
      <c r="O320" s="2">
        <v>21339.25</v>
      </c>
      <c r="P320" s="2">
        <v>108.24</v>
      </c>
      <c r="Q320" s="2">
        <v>104.31</v>
      </c>
    </row>
    <row r="321" spans="1:17" x14ac:dyDescent="0.45">
      <c r="A321" s="1">
        <v>44531</v>
      </c>
      <c r="B321">
        <v>2022</v>
      </c>
      <c r="C321">
        <v>3</v>
      </c>
      <c r="D321" t="s">
        <v>24</v>
      </c>
      <c r="E321" s="2">
        <v>13972000</v>
      </c>
      <c r="F321" s="2">
        <v>1188582.52</v>
      </c>
      <c r="G321" s="2">
        <v>584093</v>
      </c>
      <c r="H321" s="2">
        <v>583004.6</v>
      </c>
      <c r="I321" s="2">
        <v>56386.26</v>
      </c>
      <c r="J321">
        <v>82</v>
      </c>
      <c r="K321">
        <v>5</v>
      </c>
      <c r="L321">
        <v>151</v>
      </c>
      <c r="M321">
        <v>5</v>
      </c>
      <c r="N321">
        <v>23</v>
      </c>
      <c r="O321" s="2">
        <v>160694.35</v>
      </c>
      <c r="P321" s="2">
        <v>112.33</v>
      </c>
      <c r="Q321" s="2">
        <v>103.43</v>
      </c>
    </row>
    <row r="322" spans="1:17" x14ac:dyDescent="0.45">
      <c r="A322" s="1">
        <v>45778</v>
      </c>
      <c r="B322">
        <v>2025</v>
      </c>
      <c r="C322">
        <v>8</v>
      </c>
      <c r="D322" t="s">
        <v>22</v>
      </c>
      <c r="E322" s="2">
        <v>7115000</v>
      </c>
      <c r="F322" s="2">
        <v>572920.23</v>
      </c>
      <c r="G322" s="2">
        <v>329799.55</v>
      </c>
      <c r="H322" s="2">
        <v>237110.73</v>
      </c>
      <c r="I322" s="2">
        <v>16160.5</v>
      </c>
      <c r="J322">
        <v>33</v>
      </c>
      <c r="K322">
        <v>3</v>
      </c>
      <c r="L322">
        <v>52</v>
      </c>
      <c r="M322">
        <v>1</v>
      </c>
      <c r="N322">
        <v>10</v>
      </c>
      <c r="O322" s="2">
        <v>25908.57</v>
      </c>
      <c r="P322" s="2">
        <v>115.34</v>
      </c>
      <c r="Q322" s="2">
        <v>116.1</v>
      </c>
    </row>
    <row r="323" spans="1:17" x14ac:dyDescent="0.45">
      <c r="A323" s="1">
        <v>44682</v>
      </c>
      <c r="B323">
        <v>2022</v>
      </c>
      <c r="C323">
        <v>8</v>
      </c>
      <c r="D323" t="s">
        <v>24</v>
      </c>
      <c r="E323" s="2">
        <v>13972000</v>
      </c>
      <c r="F323" s="2">
        <v>1107859.27</v>
      </c>
      <c r="G323" s="2">
        <v>564748.78</v>
      </c>
      <c r="H323" s="2">
        <v>483566.17</v>
      </c>
      <c r="I323" s="2">
        <v>71590.05</v>
      </c>
      <c r="J323">
        <v>79</v>
      </c>
      <c r="K323">
        <v>8</v>
      </c>
      <c r="L323">
        <v>42</v>
      </c>
      <c r="M323">
        <v>5</v>
      </c>
      <c r="N323">
        <v>30</v>
      </c>
      <c r="O323" s="2">
        <v>240528.32</v>
      </c>
      <c r="P323" s="2">
        <v>110.73</v>
      </c>
      <c r="Q323" s="2">
        <v>103.92</v>
      </c>
    </row>
    <row r="324" spans="1:17" x14ac:dyDescent="0.45">
      <c r="A324" s="1">
        <v>45962</v>
      </c>
      <c r="B324">
        <v>2026</v>
      </c>
      <c r="C324">
        <v>2</v>
      </c>
      <c r="D324" t="s">
        <v>18</v>
      </c>
      <c r="E324" s="2">
        <v>4157000</v>
      </c>
      <c r="F324" s="2">
        <v>359481.3</v>
      </c>
      <c r="G324" s="2">
        <v>304478.07</v>
      </c>
      <c r="H324" s="2">
        <v>53149.98</v>
      </c>
      <c r="I324" s="2">
        <v>3143.66</v>
      </c>
      <c r="J324">
        <v>28</v>
      </c>
      <c r="K324">
        <v>0</v>
      </c>
      <c r="L324">
        <v>33</v>
      </c>
      <c r="M324">
        <v>1</v>
      </c>
      <c r="N324">
        <v>7</v>
      </c>
      <c r="O324" s="2">
        <v>10878.81</v>
      </c>
      <c r="P324" s="2">
        <v>122.07</v>
      </c>
      <c r="Q324" s="2">
        <v>119.44</v>
      </c>
    </row>
    <row r="325" spans="1:17" x14ac:dyDescent="0.45">
      <c r="A325" s="1">
        <v>44378</v>
      </c>
      <c r="B325">
        <v>2021</v>
      </c>
      <c r="C325">
        <v>10</v>
      </c>
      <c r="D325" t="s">
        <v>17</v>
      </c>
      <c r="E325" s="2">
        <v>7300000</v>
      </c>
      <c r="F325" s="2">
        <v>597439.18000000005</v>
      </c>
      <c r="G325" s="2">
        <v>322420.87</v>
      </c>
      <c r="H325" s="2">
        <v>249309.44</v>
      </c>
      <c r="I325" s="2">
        <v>24541.759999999998</v>
      </c>
      <c r="J325">
        <v>44</v>
      </c>
      <c r="K325">
        <v>2</v>
      </c>
      <c r="L325">
        <v>88</v>
      </c>
      <c r="M325">
        <v>0</v>
      </c>
      <c r="N325">
        <v>14</v>
      </c>
      <c r="O325" s="2">
        <v>11676.08</v>
      </c>
      <c r="P325" s="2">
        <v>108.22</v>
      </c>
      <c r="Q325" s="2">
        <v>100.97</v>
      </c>
    </row>
    <row r="326" spans="1:17" x14ac:dyDescent="0.45">
      <c r="A326" s="1">
        <v>45292</v>
      </c>
      <c r="B326">
        <v>2024</v>
      </c>
      <c r="C326">
        <v>4</v>
      </c>
      <c r="D326" t="s">
        <v>25</v>
      </c>
      <c r="E326" s="2">
        <v>4657000</v>
      </c>
      <c r="F326" s="2">
        <v>402284.82</v>
      </c>
      <c r="G326" s="2">
        <v>326882.96999999997</v>
      </c>
      <c r="H326" s="2">
        <v>58526.1</v>
      </c>
      <c r="I326" s="2">
        <v>10251.48</v>
      </c>
      <c r="J326">
        <v>33</v>
      </c>
      <c r="K326">
        <v>2</v>
      </c>
      <c r="L326">
        <v>47</v>
      </c>
      <c r="M326">
        <v>1</v>
      </c>
      <c r="N326">
        <v>9</v>
      </c>
      <c r="O326" s="2">
        <v>14423.26</v>
      </c>
      <c r="P326" s="2">
        <v>99.3</v>
      </c>
      <c r="Q326" s="2">
        <v>110.84</v>
      </c>
    </row>
    <row r="327" spans="1:17" x14ac:dyDescent="0.45">
      <c r="A327" s="1">
        <v>44896</v>
      </c>
      <c r="B327">
        <v>2023</v>
      </c>
      <c r="C327">
        <v>3</v>
      </c>
      <c r="D327" t="s">
        <v>17</v>
      </c>
      <c r="E327" s="2">
        <v>7820000</v>
      </c>
      <c r="F327" s="2">
        <v>664299.13</v>
      </c>
      <c r="G327" s="2">
        <v>339851.07</v>
      </c>
      <c r="H327" s="2">
        <v>303739.81</v>
      </c>
      <c r="I327" s="2">
        <v>33400.15</v>
      </c>
      <c r="J327">
        <v>44</v>
      </c>
      <c r="K327">
        <v>1</v>
      </c>
      <c r="L327">
        <v>61</v>
      </c>
      <c r="M327">
        <v>4</v>
      </c>
      <c r="N327">
        <v>18</v>
      </c>
      <c r="O327" s="2">
        <v>72552.73</v>
      </c>
      <c r="P327" s="2">
        <v>110.34</v>
      </c>
      <c r="Q327" s="2">
        <v>106.59</v>
      </c>
    </row>
    <row r="328" spans="1:17" x14ac:dyDescent="0.45">
      <c r="A328" s="1">
        <v>44835</v>
      </c>
      <c r="B328">
        <v>2023</v>
      </c>
      <c r="C328">
        <v>1</v>
      </c>
      <c r="D328" t="s">
        <v>22</v>
      </c>
      <c r="E328" s="2">
        <v>6642000</v>
      </c>
      <c r="F328" s="2">
        <v>574833.76</v>
      </c>
      <c r="G328" s="2">
        <v>272071.32</v>
      </c>
      <c r="H328" s="2">
        <v>248210.2</v>
      </c>
      <c r="I328" s="2">
        <v>40760.68</v>
      </c>
      <c r="J328">
        <v>31</v>
      </c>
      <c r="K328">
        <v>0</v>
      </c>
      <c r="L328">
        <v>27</v>
      </c>
      <c r="M328">
        <v>5</v>
      </c>
      <c r="N328">
        <v>23</v>
      </c>
      <c r="O328" s="2">
        <v>87944.13</v>
      </c>
      <c r="P328" s="2">
        <v>109.79</v>
      </c>
      <c r="Q328" s="2">
        <v>105.85</v>
      </c>
    </row>
    <row r="329" spans="1:17" x14ac:dyDescent="0.45">
      <c r="A329" s="1">
        <v>45717</v>
      </c>
      <c r="B329">
        <v>2025</v>
      </c>
      <c r="C329">
        <v>6</v>
      </c>
      <c r="D329" t="s">
        <v>18</v>
      </c>
      <c r="E329" s="2">
        <v>4016000</v>
      </c>
      <c r="F329" s="2">
        <v>359136.3</v>
      </c>
      <c r="G329" s="2">
        <v>308018.93</v>
      </c>
      <c r="H329" s="2">
        <v>43857.72</v>
      </c>
      <c r="I329" s="2">
        <v>3146.05</v>
      </c>
      <c r="J329">
        <v>28</v>
      </c>
      <c r="K329">
        <v>2</v>
      </c>
      <c r="L329">
        <v>41</v>
      </c>
      <c r="M329">
        <v>0</v>
      </c>
      <c r="N329">
        <v>9</v>
      </c>
      <c r="O329" s="2">
        <v>6420.1</v>
      </c>
      <c r="P329" s="2">
        <v>114.58</v>
      </c>
      <c r="Q329" s="2">
        <v>116.48</v>
      </c>
    </row>
    <row r="330" spans="1:17" x14ac:dyDescent="0.45">
      <c r="A330" s="1">
        <v>45901</v>
      </c>
      <c r="B330">
        <v>2025</v>
      </c>
      <c r="C330">
        <v>12</v>
      </c>
      <c r="D330" t="s">
        <v>19</v>
      </c>
      <c r="E330" s="2">
        <v>5508000</v>
      </c>
      <c r="F330" s="2">
        <v>477981.56</v>
      </c>
      <c r="G330" s="2">
        <v>393461.71</v>
      </c>
      <c r="H330" s="2">
        <v>77558.05</v>
      </c>
      <c r="I330" s="2">
        <v>8293.5</v>
      </c>
      <c r="J330">
        <v>38</v>
      </c>
      <c r="K330">
        <v>5</v>
      </c>
      <c r="L330">
        <v>0</v>
      </c>
      <c r="M330">
        <v>0</v>
      </c>
      <c r="N330">
        <v>10</v>
      </c>
      <c r="O330" s="2">
        <v>8425.2199999999993</v>
      </c>
      <c r="P330" s="2">
        <v>119.85</v>
      </c>
      <c r="Q330" s="2">
        <v>117.61</v>
      </c>
    </row>
    <row r="331" spans="1:17" x14ac:dyDescent="0.45">
      <c r="A331" s="1">
        <v>45200</v>
      </c>
      <c r="B331">
        <v>2024</v>
      </c>
      <c r="C331">
        <v>1</v>
      </c>
      <c r="D331" t="s">
        <v>22</v>
      </c>
      <c r="E331" s="2">
        <v>6874000</v>
      </c>
      <c r="F331" s="2">
        <v>583273.85</v>
      </c>
      <c r="G331" s="2">
        <v>294078.84000000003</v>
      </c>
      <c r="H331" s="2">
        <v>251067.24</v>
      </c>
      <c r="I331" s="2">
        <v>33038.35</v>
      </c>
      <c r="J331">
        <v>30</v>
      </c>
      <c r="K331">
        <v>6</v>
      </c>
      <c r="L331">
        <v>64</v>
      </c>
      <c r="M331">
        <v>4</v>
      </c>
      <c r="N331">
        <v>21</v>
      </c>
      <c r="O331" s="2">
        <v>70037.94</v>
      </c>
      <c r="P331" s="2">
        <v>102.91</v>
      </c>
      <c r="Q331" s="2">
        <v>111.52</v>
      </c>
    </row>
    <row r="332" spans="1:17" x14ac:dyDescent="0.45">
      <c r="A332" s="1">
        <v>45444</v>
      </c>
      <c r="B332">
        <v>2024</v>
      </c>
      <c r="C332">
        <v>9</v>
      </c>
      <c r="D332" t="s">
        <v>28</v>
      </c>
      <c r="E332" s="2">
        <v>24392000</v>
      </c>
      <c r="F332" s="2">
        <v>2124620.89</v>
      </c>
      <c r="G332" s="2">
        <v>1608740.4</v>
      </c>
      <c r="H332" s="2">
        <v>465116.69</v>
      </c>
      <c r="I332" s="2">
        <v>59509.440000000002</v>
      </c>
      <c r="J332">
        <v>187</v>
      </c>
      <c r="K332">
        <v>11</v>
      </c>
      <c r="L332">
        <v>651</v>
      </c>
      <c r="M332">
        <v>8</v>
      </c>
      <c r="N332">
        <v>33</v>
      </c>
      <c r="O332" s="2">
        <v>419559.21</v>
      </c>
      <c r="P332" s="2">
        <v>102.17</v>
      </c>
      <c r="Q332" s="2">
        <v>112.9</v>
      </c>
    </row>
    <row r="333" spans="1:17" x14ac:dyDescent="0.45">
      <c r="A333" s="1">
        <v>45292</v>
      </c>
      <c r="B333">
        <v>2024</v>
      </c>
      <c r="C333">
        <v>4</v>
      </c>
      <c r="D333" t="s">
        <v>17</v>
      </c>
      <c r="E333" s="2">
        <v>8094000</v>
      </c>
      <c r="F333" s="2">
        <v>616172.23</v>
      </c>
      <c r="G333" s="2">
        <v>348951.85</v>
      </c>
      <c r="H333" s="2">
        <v>260910.94</v>
      </c>
      <c r="I333" s="2">
        <v>21216.46</v>
      </c>
      <c r="J333">
        <v>44</v>
      </c>
      <c r="K333">
        <v>3</v>
      </c>
      <c r="L333">
        <v>97</v>
      </c>
      <c r="M333">
        <v>2</v>
      </c>
      <c r="N333">
        <v>21</v>
      </c>
      <c r="O333" s="2">
        <v>65120.43</v>
      </c>
      <c r="P333" s="2">
        <v>103.07</v>
      </c>
      <c r="Q333" s="2">
        <v>110.82</v>
      </c>
    </row>
    <row r="334" spans="1:17" x14ac:dyDescent="0.45">
      <c r="A334" s="1">
        <v>44228</v>
      </c>
      <c r="B334">
        <v>2021</v>
      </c>
      <c r="C334">
        <v>5</v>
      </c>
      <c r="D334" t="s">
        <v>21</v>
      </c>
      <c r="E334" s="2">
        <v>8000000</v>
      </c>
      <c r="F334" s="2">
        <v>632612.5</v>
      </c>
      <c r="G334" s="2">
        <v>431098.38</v>
      </c>
      <c r="H334" s="2">
        <v>196828.67</v>
      </c>
      <c r="I334" s="2">
        <v>19324.240000000002</v>
      </c>
      <c r="J334">
        <v>65</v>
      </c>
      <c r="K334">
        <v>6</v>
      </c>
      <c r="L334">
        <v>124</v>
      </c>
      <c r="M334">
        <v>2</v>
      </c>
      <c r="N334">
        <v>12</v>
      </c>
      <c r="O334" s="2"/>
      <c r="P334" s="2">
        <v>104.26</v>
      </c>
      <c r="Q334" s="2">
        <v>99.81</v>
      </c>
    </row>
    <row r="335" spans="1:17" x14ac:dyDescent="0.45">
      <c r="A335" s="1">
        <v>44317</v>
      </c>
      <c r="B335">
        <v>2021</v>
      </c>
      <c r="C335">
        <v>8</v>
      </c>
      <c r="D335" t="s">
        <v>25</v>
      </c>
      <c r="E335" s="2">
        <v>4200000</v>
      </c>
      <c r="F335" s="2">
        <v>329261.17</v>
      </c>
      <c r="G335" s="2">
        <v>265778.88</v>
      </c>
      <c r="H335" s="2">
        <v>63560.57</v>
      </c>
      <c r="I335" s="2">
        <v>6574.13</v>
      </c>
      <c r="J335">
        <v>31</v>
      </c>
      <c r="K335">
        <v>2</v>
      </c>
      <c r="L335">
        <v>0</v>
      </c>
      <c r="M335">
        <v>2</v>
      </c>
      <c r="N335">
        <v>12</v>
      </c>
      <c r="O335" s="2">
        <v>19562.75</v>
      </c>
      <c r="P335" s="2">
        <v>106.45</v>
      </c>
      <c r="Q335" s="2">
        <v>102.13</v>
      </c>
    </row>
    <row r="336" spans="1:17" x14ac:dyDescent="0.45">
      <c r="A336" s="1">
        <v>44348</v>
      </c>
      <c r="B336">
        <v>2021</v>
      </c>
      <c r="C336">
        <v>9</v>
      </c>
      <c r="D336" t="s">
        <v>25</v>
      </c>
      <c r="E336" s="2">
        <v>4200000</v>
      </c>
      <c r="F336" s="2">
        <v>357215.38</v>
      </c>
      <c r="G336" s="2">
        <v>291120.63</v>
      </c>
      <c r="H336" s="2">
        <v>61980.03</v>
      </c>
      <c r="I336" s="2">
        <v>9812.44</v>
      </c>
      <c r="J336">
        <v>32</v>
      </c>
      <c r="K336">
        <v>3</v>
      </c>
      <c r="L336">
        <v>50</v>
      </c>
      <c r="M336">
        <v>4</v>
      </c>
      <c r="N336">
        <v>16</v>
      </c>
      <c r="O336" s="2">
        <v>40367.39</v>
      </c>
      <c r="P336" s="2">
        <v>105.64</v>
      </c>
      <c r="Q336" s="2">
        <v>102.94</v>
      </c>
    </row>
    <row r="337" spans="1:17" x14ac:dyDescent="0.45">
      <c r="A337" s="1">
        <v>45597</v>
      </c>
      <c r="B337">
        <v>2025</v>
      </c>
      <c r="C337">
        <v>2</v>
      </c>
      <c r="D337" t="s">
        <v>27</v>
      </c>
      <c r="E337" s="2">
        <v>28688000</v>
      </c>
      <c r="F337" s="2">
        <v>2783364.29</v>
      </c>
      <c r="G337" s="2">
        <v>2056402.22</v>
      </c>
      <c r="H337" s="2">
        <v>688096.28</v>
      </c>
      <c r="I337" s="2">
        <v>56086.080000000002</v>
      </c>
      <c r="J337">
        <v>217</v>
      </c>
      <c r="K337">
        <v>15</v>
      </c>
      <c r="L337">
        <v>1095</v>
      </c>
      <c r="M337">
        <v>10</v>
      </c>
      <c r="N337">
        <v>40</v>
      </c>
      <c r="O337" s="2">
        <v>529874.31000000006</v>
      </c>
      <c r="P337" s="2">
        <v>106.79</v>
      </c>
      <c r="Q337" s="2">
        <v>114.86</v>
      </c>
    </row>
    <row r="338" spans="1:17" x14ac:dyDescent="0.45">
      <c r="A338" s="1">
        <v>44197</v>
      </c>
      <c r="B338">
        <v>2021</v>
      </c>
      <c r="C338">
        <v>4</v>
      </c>
      <c r="D338" t="s">
        <v>24</v>
      </c>
      <c r="E338" s="2">
        <v>13500000</v>
      </c>
      <c r="F338" s="2">
        <v>1070061.03</v>
      </c>
      <c r="G338" s="2">
        <v>568983.32999999996</v>
      </c>
      <c r="H338" s="2">
        <v>423741.14</v>
      </c>
      <c r="I338" s="2">
        <v>46229.56</v>
      </c>
      <c r="J338">
        <v>80</v>
      </c>
      <c r="K338">
        <v>5</v>
      </c>
      <c r="L338">
        <v>137</v>
      </c>
      <c r="M338">
        <v>1</v>
      </c>
      <c r="N338">
        <v>21</v>
      </c>
      <c r="O338" s="2">
        <v>83532.81</v>
      </c>
      <c r="P338" s="2">
        <v>99.81</v>
      </c>
      <c r="Q338" s="2">
        <v>99.89</v>
      </c>
    </row>
    <row r="339" spans="1:17" x14ac:dyDescent="0.45">
      <c r="A339" s="1">
        <v>45474</v>
      </c>
      <c r="B339">
        <v>2024</v>
      </c>
      <c r="C339">
        <v>10</v>
      </c>
      <c r="D339" t="s">
        <v>21</v>
      </c>
      <c r="E339" s="2">
        <v>8870000</v>
      </c>
      <c r="F339" s="2">
        <v>775852.97</v>
      </c>
      <c r="G339" s="2">
        <v>496406.54</v>
      </c>
      <c r="H339" s="2">
        <v>236081.13</v>
      </c>
      <c r="I339" s="2">
        <v>34869.93</v>
      </c>
      <c r="J339">
        <v>69</v>
      </c>
      <c r="K339">
        <v>6</v>
      </c>
      <c r="L339">
        <v>71</v>
      </c>
      <c r="M339">
        <v>0</v>
      </c>
      <c r="N339">
        <v>13</v>
      </c>
      <c r="O339" s="2">
        <v>19265.95</v>
      </c>
      <c r="P339" s="2">
        <v>107.67</v>
      </c>
      <c r="Q339" s="2">
        <v>113.65</v>
      </c>
    </row>
    <row r="340" spans="1:17" x14ac:dyDescent="0.45">
      <c r="A340" s="1">
        <v>44470</v>
      </c>
      <c r="B340">
        <v>2022</v>
      </c>
      <c r="C340">
        <v>1</v>
      </c>
      <c r="D340" t="s">
        <v>23</v>
      </c>
      <c r="E340" s="2">
        <v>19665000</v>
      </c>
      <c r="F340" s="2">
        <v>1549506.84</v>
      </c>
      <c r="G340" s="2">
        <v>714739.16</v>
      </c>
      <c r="H340" s="2">
        <v>708775.1</v>
      </c>
      <c r="I340" s="2">
        <v>74687.759999999995</v>
      </c>
      <c r="J340">
        <v>92</v>
      </c>
      <c r="K340">
        <v>6</v>
      </c>
      <c r="L340">
        <v>396</v>
      </c>
      <c r="M340">
        <v>5</v>
      </c>
      <c r="N340">
        <v>25</v>
      </c>
      <c r="O340" s="2">
        <v>203388.07</v>
      </c>
      <c r="P340" s="2">
        <v>109.46</v>
      </c>
      <c r="Q340" s="2">
        <v>103.03</v>
      </c>
    </row>
    <row r="341" spans="1:17" x14ac:dyDescent="0.45">
      <c r="A341" s="1">
        <v>45505</v>
      </c>
      <c r="B341">
        <v>2024</v>
      </c>
      <c r="C341">
        <v>11</v>
      </c>
      <c r="D341" t="s">
        <v>25</v>
      </c>
      <c r="E341" s="2">
        <v>4657000</v>
      </c>
      <c r="F341" s="2">
        <v>394536.19</v>
      </c>
      <c r="G341" s="2">
        <v>310865.06</v>
      </c>
      <c r="H341" s="2">
        <v>66924.429999999993</v>
      </c>
      <c r="I341" s="2">
        <v>11569.29</v>
      </c>
      <c r="J341">
        <v>33</v>
      </c>
      <c r="L341">
        <v>55</v>
      </c>
      <c r="M341">
        <v>3</v>
      </c>
      <c r="N341">
        <v>15</v>
      </c>
      <c r="O341" s="2">
        <v>34312.68</v>
      </c>
      <c r="P341" s="2">
        <v>103.98</v>
      </c>
      <c r="Q341" s="2">
        <v>113.1</v>
      </c>
    </row>
    <row r="342" spans="1:17" x14ac:dyDescent="0.45">
      <c r="A342" s="1">
        <v>44958</v>
      </c>
      <c r="B342">
        <v>2023</v>
      </c>
      <c r="C342">
        <v>5</v>
      </c>
      <c r="D342" t="s">
        <v>21</v>
      </c>
      <c r="E342" s="2">
        <v>8570000</v>
      </c>
      <c r="F342" s="2">
        <v>684602.44</v>
      </c>
      <c r="G342" s="2">
        <v>479089.61</v>
      </c>
      <c r="H342" s="2">
        <v>197366.31</v>
      </c>
      <c r="I342" s="2">
        <v>11782.6</v>
      </c>
      <c r="J342">
        <v>66</v>
      </c>
      <c r="K342">
        <v>7</v>
      </c>
      <c r="L342">
        <v>57</v>
      </c>
      <c r="M342">
        <v>4</v>
      </c>
      <c r="N342">
        <v>19</v>
      </c>
      <c r="O342" s="2">
        <v>89118.77</v>
      </c>
      <c r="P342" s="2">
        <v>103.82</v>
      </c>
      <c r="Q342" s="2">
        <v>107.25</v>
      </c>
    </row>
    <row r="343" spans="1:17" x14ac:dyDescent="0.45">
      <c r="A343" s="1">
        <v>45292</v>
      </c>
      <c r="B343">
        <v>2024</v>
      </c>
      <c r="C343">
        <v>4</v>
      </c>
      <c r="D343" t="s">
        <v>25</v>
      </c>
      <c r="E343" s="2">
        <v>4657000</v>
      </c>
      <c r="F343" s="2">
        <v>402284.82</v>
      </c>
      <c r="G343" s="2">
        <v>326882.96999999997</v>
      </c>
      <c r="H343" s="2">
        <v>58526.1</v>
      </c>
      <c r="I343" s="2">
        <v>10251.48</v>
      </c>
      <c r="J343">
        <v>33</v>
      </c>
      <c r="K343">
        <v>2</v>
      </c>
      <c r="L343">
        <v>47</v>
      </c>
      <c r="M343">
        <v>1</v>
      </c>
      <c r="N343">
        <v>9</v>
      </c>
      <c r="O343" s="2">
        <v>14423.26</v>
      </c>
      <c r="P343" s="2">
        <v>99.3</v>
      </c>
      <c r="Q343" s="2">
        <v>110.84</v>
      </c>
    </row>
    <row r="344" spans="1:17" x14ac:dyDescent="0.45">
      <c r="A344" s="1">
        <v>44896</v>
      </c>
      <c r="B344">
        <v>2023</v>
      </c>
      <c r="C344">
        <v>3</v>
      </c>
      <c r="D344" t="s">
        <v>23</v>
      </c>
      <c r="E344" s="2">
        <v>20353000</v>
      </c>
      <c r="F344" s="2">
        <v>2192756.67</v>
      </c>
      <c r="G344" s="2">
        <v>778230.06</v>
      </c>
      <c r="H344" s="2">
        <v>1190954.3899999999</v>
      </c>
      <c r="I344" s="2">
        <v>104840.5</v>
      </c>
      <c r="J344">
        <v>94</v>
      </c>
      <c r="K344">
        <v>4</v>
      </c>
      <c r="L344">
        <v>462</v>
      </c>
      <c r="M344">
        <v>9</v>
      </c>
      <c r="N344">
        <v>29</v>
      </c>
      <c r="O344" s="2">
        <v>459146.64</v>
      </c>
      <c r="P344" s="2">
        <v>108.38</v>
      </c>
      <c r="Q344" s="2">
        <v>107.01</v>
      </c>
    </row>
    <row r="345" spans="1:17" x14ac:dyDescent="0.45">
      <c r="A345" s="1">
        <v>45292</v>
      </c>
      <c r="B345">
        <v>2024</v>
      </c>
      <c r="C345">
        <v>4</v>
      </c>
      <c r="D345" t="s">
        <v>24</v>
      </c>
      <c r="E345" s="2">
        <v>14968000</v>
      </c>
      <c r="F345" s="2">
        <v>1260070.07</v>
      </c>
      <c r="G345" s="2">
        <v>636271.42000000004</v>
      </c>
      <c r="H345" s="2">
        <v>560450.07999999996</v>
      </c>
      <c r="I345" s="2">
        <v>32163.52</v>
      </c>
      <c r="J345">
        <v>80</v>
      </c>
      <c r="K345">
        <v>6</v>
      </c>
      <c r="L345">
        <v>94</v>
      </c>
      <c r="M345">
        <v>4</v>
      </c>
      <c r="N345">
        <v>27</v>
      </c>
      <c r="O345" s="2">
        <v>202937.53</v>
      </c>
      <c r="P345" s="2">
        <v>99.85</v>
      </c>
      <c r="Q345" s="2">
        <v>111.68</v>
      </c>
    </row>
    <row r="346" spans="1:17" x14ac:dyDescent="0.45">
      <c r="A346" s="1">
        <v>45566</v>
      </c>
      <c r="B346">
        <v>2025</v>
      </c>
      <c r="C346">
        <v>1</v>
      </c>
      <c r="D346" t="s">
        <v>19</v>
      </c>
      <c r="E346" s="2">
        <v>5508000</v>
      </c>
      <c r="F346" s="2">
        <v>467908.47</v>
      </c>
      <c r="G346" s="2">
        <v>395574.79</v>
      </c>
      <c r="H346" s="2">
        <v>73373.679999999993</v>
      </c>
      <c r="I346" s="2">
        <v>4312.8900000000003</v>
      </c>
      <c r="J346">
        <v>38</v>
      </c>
      <c r="K346">
        <v>1</v>
      </c>
      <c r="L346">
        <v>73</v>
      </c>
      <c r="M346">
        <v>1</v>
      </c>
      <c r="N346">
        <v>9</v>
      </c>
      <c r="O346" s="2">
        <v>17337.11</v>
      </c>
      <c r="P346" s="2">
        <v>101.36</v>
      </c>
      <c r="Q346" s="2">
        <v>113.84</v>
      </c>
    </row>
    <row r="347" spans="1:17" x14ac:dyDescent="0.45">
      <c r="A347" s="1">
        <v>45962</v>
      </c>
      <c r="B347">
        <v>2026</v>
      </c>
      <c r="C347">
        <v>2</v>
      </c>
      <c r="D347" t="s">
        <v>22</v>
      </c>
      <c r="E347" s="2">
        <v>7364000</v>
      </c>
      <c r="F347" s="2">
        <v>690881.97</v>
      </c>
      <c r="G347" s="2">
        <v>337988.02</v>
      </c>
      <c r="H347" s="2">
        <v>312410.90999999997</v>
      </c>
      <c r="I347" s="2">
        <v>44512.86</v>
      </c>
      <c r="J347">
        <v>33</v>
      </c>
      <c r="K347">
        <v>1</v>
      </c>
      <c r="L347">
        <v>8</v>
      </c>
      <c r="M347">
        <v>4</v>
      </c>
      <c r="N347">
        <v>15</v>
      </c>
      <c r="O347" s="2">
        <v>66520.47</v>
      </c>
      <c r="P347" s="2">
        <v>118.71</v>
      </c>
      <c r="Q347" s="2">
        <v>119.03</v>
      </c>
    </row>
    <row r="348" spans="1:17" x14ac:dyDescent="0.45">
      <c r="A348" s="1">
        <v>45261</v>
      </c>
      <c r="B348">
        <v>2024</v>
      </c>
      <c r="C348">
        <v>3</v>
      </c>
      <c r="D348" t="s">
        <v>17</v>
      </c>
      <c r="E348" s="2">
        <v>8094000</v>
      </c>
      <c r="F348" s="2">
        <v>643988.80000000005</v>
      </c>
      <c r="G348" s="2">
        <v>335711.5</v>
      </c>
      <c r="H348" s="2">
        <v>318388.94</v>
      </c>
      <c r="I348" s="2">
        <v>16976.68</v>
      </c>
      <c r="J348">
        <v>43</v>
      </c>
      <c r="K348">
        <v>3</v>
      </c>
      <c r="L348">
        <v>55</v>
      </c>
      <c r="M348">
        <v>3</v>
      </c>
      <c r="N348">
        <v>13</v>
      </c>
      <c r="O348" s="2">
        <v>77025.48</v>
      </c>
      <c r="P348" s="2">
        <v>99.53</v>
      </c>
      <c r="Q348" s="2">
        <v>110.67</v>
      </c>
    </row>
    <row r="349" spans="1:17" x14ac:dyDescent="0.45">
      <c r="A349" s="1">
        <v>45748</v>
      </c>
      <c r="B349">
        <v>2025</v>
      </c>
      <c r="C349">
        <v>7</v>
      </c>
      <c r="D349" t="s">
        <v>23</v>
      </c>
      <c r="E349" s="2">
        <v>21803000</v>
      </c>
      <c r="F349" s="2">
        <v>1910157</v>
      </c>
      <c r="G349" s="2">
        <v>841245.99</v>
      </c>
      <c r="H349" s="2">
        <v>876555.46</v>
      </c>
      <c r="I349" s="2">
        <v>143156.45000000001</v>
      </c>
      <c r="J349">
        <v>97</v>
      </c>
      <c r="K349">
        <v>10</v>
      </c>
      <c r="L349">
        <v>375</v>
      </c>
      <c r="M349">
        <v>6</v>
      </c>
      <c r="N349">
        <v>26</v>
      </c>
      <c r="O349" s="2">
        <v>373982.4</v>
      </c>
      <c r="P349" s="2">
        <v>111.99</v>
      </c>
      <c r="Q349" s="2">
        <v>116.61</v>
      </c>
    </row>
    <row r="350" spans="1:17" x14ac:dyDescent="0.45">
      <c r="A350" s="1">
        <v>45383</v>
      </c>
      <c r="B350">
        <v>2024</v>
      </c>
      <c r="C350">
        <v>7</v>
      </c>
      <c r="D350" t="s">
        <v>27</v>
      </c>
      <c r="E350" s="2">
        <v>27718000</v>
      </c>
      <c r="F350" s="2">
        <v>2449997.7599999998</v>
      </c>
      <c r="G350" s="2">
        <v>1773585.9</v>
      </c>
      <c r="H350" s="2">
        <v>596899.49</v>
      </c>
      <c r="I350" s="2">
        <v>68874.78</v>
      </c>
      <c r="J350">
        <v>211</v>
      </c>
      <c r="K350">
        <v>12</v>
      </c>
      <c r="L350">
        <v>931</v>
      </c>
      <c r="M350">
        <v>7</v>
      </c>
      <c r="N350">
        <v>31</v>
      </c>
      <c r="O350" s="2">
        <v>555240.72</v>
      </c>
      <c r="P350" s="2">
        <v>97.57</v>
      </c>
      <c r="Q350" s="2">
        <v>112.75</v>
      </c>
    </row>
    <row r="351" spans="1:17" x14ac:dyDescent="0.45">
      <c r="A351" s="1">
        <v>44986</v>
      </c>
      <c r="B351">
        <v>2023</v>
      </c>
      <c r="C351">
        <v>6</v>
      </c>
      <c r="D351" t="s">
        <v>22</v>
      </c>
      <c r="E351" s="2">
        <v>6642000</v>
      </c>
      <c r="F351" s="2">
        <v>531809.6</v>
      </c>
      <c r="G351" s="2">
        <v>269831.78999999998</v>
      </c>
      <c r="H351" s="2">
        <v>255366.98</v>
      </c>
      <c r="I351" s="2">
        <v>10889.13</v>
      </c>
      <c r="J351">
        <v>30</v>
      </c>
      <c r="K351">
        <v>4</v>
      </c>
      <c r="L351">
        <v>27</v>
      </c>
      <c r="M351">
        <v>0</v>
      </c>
      <c r="N351">
        <v>12</v>
      </c>
      <c r="O351" s="2">
        <v>13086.43</v>
      </c>
      <c r="P351" s="2">
        <v>103.44</v>
      </c>
      <c r="Q351" s="2">
        <v>109.12</v>
      </c>
    </row>
    <row r="352" spans="1:17" x14ac:dyDescent="0.45">
      <c r="A352" s="1">
        <v>44470</v>
      </c>
      <c r="B352">
        <v>2022</v>
      </c>
      <c r="C352">
        <v>1</v>
      </c>
      <c r="D352" t="s">
        <v>16</v>
      </c>
      <c r="E352" s="2">
        <v>6417000</v>
      </c>
      <c r="F352" s="2">
        <v>514327.9</v>
      </c>
      <c r="G352" s="2">
        <v>253893.7</v>
      </c>
      <c r="H352" s="2">
        <v>240833.45</v>
      </c>
      <c r="I352" s="2">
        <v>19405.38</v>
      </c>
      <c r="J352">
        <v>30</v>
      </c>
      <c r="K352">
        <v>1</v>
      </c>
      <c r="L352">
        <v>13</v>
      </c>
      <c r="M352">
        <v>0</v>
      </c>
      <c r="N352">
        <v>16</v>
      </c>
      <c r="O352" s="2">
        <v>17343.169999999998</v>
      </c>
      <c r="P352" s="2">
        <v>108.3</v>
      </c>
      <c r="Q352" s="2">
        <v>102.66</v>
      </c>
    </row>
    <row r="353" spans="1:17" x14ac:dyDescent="0.45">
      <c r="A353" s="1">
        <v>45658</v>
      </c>
      <c r="B353">
        <v>2025</v>
      </c>
      <c r="C353">
        <v>4</v>
      </c>
      <c r="D353" t="s">
        <v>23</v>
      </c>
      <c r="E353" s="2">
        <v>21803000</v>
      </c>
      <c r="F353" s="2">
        <v>1867386.89</v>
      </c>
      <c r="G353" s="2">
        <v>879526.82</v>
      </c>
      <c r="H353" s="2">
        <v>854994.8</v>
      </c>
      <c r="I353" s="2">
        <v>105225.21</v>
      </c>
      <c r="J353">
        <v>101</v>
      </c>
      <c r="K353">
        <v>7</v>
      </c>
      <c r="L353">
        <v>428</v>
      </c>
      <c r="M353">
        <v>3</v>
      </c>
      <c r="N353">
        <v>24</v>
      </c>
      <c r="O353" s="2">
        <v>228930.03</v>
      </c>
      <c r="P353" s="2">
        <v>112.26</v>
      </c>
      <c r="Q353" s="2">
        <v>116.38</v>
      </c>
    </row>
    <row r="354" spans="1:17" x14ac:dyDescent="0.45">
      <c r="A354" s="1">
        <v>44287</v>
      </c>
      <c r="B354">
        <v>2021</v>
      </c>
      <c r="C354">
        <v>7</v>
      </c>
      <c r="D354" t="s">
        <v>24</v>
      </c>
      <c r="E354" s="2">
        <v>13500000</v>
      </c>
      <c r="F354" s="2">
        <v>1154673.8400000001</v>
      </c>
      <c r="G354" s="2">
        <v>551328.56999999995</v>
      </c>
      <c r="H354" s="2">
        <v>576452.03</v>
      </c>
      <c r="I354" s="2">
        <v>43487.42</v>
      </c>
      <c r="J354">
        <v>78</v>
      </c>
      <c r="K354">
        <v>4</v>
      </c>
      <c r="L354">
        <v>66</v>
      </c>
      <c r="M354">
        <v>4</v>
      </c>
      <c r="N354">
        <v>25</v>
      </c>
      <c r="O354" s="2">
        <v>125614.26</v>
      </c>
      <c r="P354" s="2">
        <v>103.76</v>
      </c>
      <c r="Q354" s="2">
        <v>100.52</v>
      </c>
    </row>
    <row r="355" spans="1:17" x14ac:dyDescent="0.45">
      <c r="A355" s="1">
        <v>44866</v>
      </c>
      <c r="B355">
        <v>2023</v>
      </c>
      <c r="C355">
        <v>2</v>
      </c>
      <c r="D355" t="s">
        <v>19</v>
      </c>
      <c r="E355" s="2">
        <v>5142000</v>
      </c>
      <c r="F355" s="2">
        <v>420512.82</v>
      </c>
      <c r="G355" s="2">
        <v>356527.42</v>
      </c>
      <c r="H355" s="2">
        <v>70408.789999999994</v>
      </c>
      <c r="I355" s="2">
        <v>6281.82</v>
      </c>
      <c r="J355">
        <v>36</v>
      </c>
      <c r="K355">
        <v>4</v>
      </c>
      <c r="L355">
        <v>41</v>
      </c>
      <c r="M355">
        <v>0</v>
      </c>
      <c r="N355">
        <v>13</v>
      </c>
      <c r="O355" s="2">
        <v>12202.96</v>
      </c>
      <c r="P355" s="2">
        <v>104.87</v>
      </c>
      <c r="Q355" s="2">
        <v>107.42</v>
      </c>
    </row>
    <row r="356" spans="1:17" x14ac:dyDescent="0.45">
      <c r="A356" s="1">
        <v>45689</v>
      </c>
      <c r="B356">
        <v>2025</v>
      </c>
      <c r="C356">
        <v>5</v>
      </c>
      <c r="D356" t="s">
        <v>19</v>
      </c>
      <c r="E356" s="2">
        <v>5508000</v>
      </c>
      <c r="F356" s="2">
        <v>508595.98</v>
      </c>
      <c r="G356" s="2">
        <v>386922.68</v>
      </c>
      <c r="H356" s="2">
        <v>65235.81</v>
      </c>
      <c r="I356" s="2">
        <v>51217.2</v>
      </c>
      <c r="J356">
        <v>38</v>
      </c>
      <c r="K356">
        <v>4</v>
      </c>
      <c r="L356">
        <v>55</v>
      </c>
      <c r="M356">
        <v>1</v>
      </c>
      <c r="N356">
        <v>13</v>
      </c>
      <c r="O356" s="2">
        <v>20856.04</v>
      </c>
      <c r="P356" s="2">
        <v>109.7</v>
      </c>
      <c r="Q356" s="2">
        <v>114.96</v>
      </c>
    </row>
    <row r="357" spans="1:17" x14ac:dyDescent="0.45">
      <c r="A357" s="1">
        <v>44713</v>
      </c>
      <c r="B357">
        <v>2022</v>
      </c>
      <c r="C357">
        <v>9</v>
      </c>
      <c r="D357" t="s">
        <v>24</v>
      </c>
      <c r="E357" s="2">
        <v>13972000</v>
      </c>
      <c r="F357" s="2">
        <v>1302099.3799999999</v>
      </c>
      <c r="G357" s="2">
        <v>583708.25</v>
      </c>
      <c r="H357" s="2">
        <v>543150.39</v>
      </c>
      <c r="I357" s="2">
        <v>177202.01</v>
      </c>
      <c r="J357">
        <v>83</v>
      </c>
      <c r="K357">
        <v>5</v>
      </c>
      <c r="L357">
        <v>229</v>
      </c>
      <c r="M357">
        <v>5</v>
      </c>
      <c r="N357">
        <v>26</v>
      </c>
      <c r="O357" s="2">
        <v>178861.15</v>
      </c>
      <c r="P357" s="2">
        <v>110.89</v>
      </c>
      <c r="Q357" s="2">
        <v>104.66</v>
      </c>
    </row>
    <row r="358" spans="1:17" x14ac:dyDescent="0.45">
      <c r="A358" s="1">
        <v>45566</v>
      </c>
      <c r="B358">
        <v>2025</v>
      </c>
      <c r="C358">
        <v>1</v>
      </c>
      <c r="D358" t="s">
        <v>23</v>
      </c>
      <c r="E358" s="2">
        <v>21803000</v>
      </c>
      <c r="F358" s="2">
        <v>1746071.33</v>
      </c>
      <c r="G358" s="2">
        <v>843609</v>
      </c>
      <c r="H358" s="2">
        <v>862396.52</v>
      </c>
      <c r="I358" s="2">
        <v>79289.19</v>
      </c>
      <c r="J358">
        <v>99</v>
      </c>
      <c r="K358">
        <v>7</v>
      </c>
      <c r="L358">
        <v>445</v>
      </c>
      <c r="M358">
        <v>6</v>
      </c>
      <c r="N358">
        <v>25</v>
      </c>
      <c r="O358" s="2">
        <v>314585.57</v>
      </c>
      <c r="P358" s="2">
        <v>105.04</v>
      </c>
      <c r="Q358" s="2">
        <v>114.51</v>
      </c>
    </row>
    <row r="359" spans="1:17" x14ac:dyDescent="0.45">
      <c r="A359" s="1">
        <v>44256</v>
      </c>
      <c r="B359">
        <v>2021</v>
      </c>
      <c r="C359">
        <v>6</v>
      </c>
      <c r="D359" t="s">
        <v>25</v>
      </c>
      <c r="E359" s="2">
        <v>4200000</v>
      </c>
      <c r="F359" s="2">
        <v>369036.09</v>
      </c>
      <c r="G359" s="2">
        <v>282397.15000000002</v>
      </c>
      <c r="H359" s="2">
        <v>58681.02</v>
      </c>
      <c r="I359" s="2">
        <v>34505.51</v>
      </c>
      <c r="J359">
        <v>32</v>
      </c>
      <c r="K359">
        <v>0</v>
      </c>
      <c r="L359">
        <v>15</v>
      </c>
      <c r="M359">
        <v>0</v>
      </c>
      <c r="N359">
        <v>12</v>
      </c>
      <c r="O359" s="2">
        <v>8605.5400000000009</v>
      </c>
      <c r="P359" s="2">
        <v>99.97</v>
      </c>
      <c r="Q359" s="2">
        <v>100</v>
      </c>
    </row>
    <row r="360" spans="1:17" x14ac:dyDescent="0.45">
      <c r="A360" s="1">
        <v>45352</v>
      </c>
      <c r="B360">
        <v>2024</v>
      </c>
      <c r="C360">
        <v>6</v>
      </c>
      <c r="D360" t="s">
        <v>28</v>
      </c>
      <c r="E360" s="2">
        <v>24392000</v>
      </c>
      <c r="F360" s="2">
        <v>2108862.7400000002</v>
      </c>
      <c r="G360" s="2">
        <v>1691964.66</v>
      </c>
      <c r="H360" s="2">
        <v>395155.79</v>
      </c>
      <c r="I360" s="2">
        <v>30116.639999999999</v>
      </c>
      <c r="J360">
        <v>184</v>
      </c>
      <c r="K360">
        <v>10</v>
      </c>
      <c r="L360">
        <v>782</v>
      </c>
      <c r="M360">
        <v>9</v>
      </c>
      <c r="N360">
        <v>33</v>
      </c>
      <c r="O360" s="2">
        <v>518164.96</v>
      </c>
      <c r="P360" s="2">
        <v>94.55</v>
      </c>
      <c r="Q360" s="2">
        <v>111.51</v>
      </c>
    </row>
    <row r="361" spans="1:17" x14ac:dyDescent="0.45">
      <c r="A361" s="1">
        <v>44317</v>
      </c>
      <c r="B361">
        <v>2021</v>
      </c>
      <c r="C361">
        <v>8</v>
      </c>
      <c r="D361" t="s">
        <v>23</v>
      </c>
      <c r="E361" s="2">
        <v>19000000</v>
      </c>
      <c r="F361" s="2">
        <v>1611850.69</v>
      </c>
      <c r="G361" s="2">
        <v>756643.3</v>
      </c>
      <c r="H361" s="2">
        <v>753715.96</v>
      </c>
      <c r="I361" s="2">
        <v>63941.56</v>
      </c>
      <c r="J361">
        <v>97</v>
      </c>
      <c r="K361">
        <v>4</v>
      </c>
      <c r="L361">
        <v>452</v>
      </c>
      <c r="M361">
        <v>5</v>
      </c>
      <c r="N361">
        <v>32</v>
      </c>
      <c r="O361" s="2">
        <v>311766.21000000002</v>
      </c>
      <c r="P361" s="2">
        <v>105.67</v>
      </c>
      <c r="Q361" s="2">
        <v>100.73</v>
      </c>
    </row>
    <row r="362" spans="1:17" x14ac:dyDescent="0.45">
      <c r="A362" s="1">
        <v>45870</v>
      </c>
      <c r="B362">
        <v>2025</v>
      </c>
      <c r="C362">
        <v>11</v>
      </c>
      <c r="D362" t="s">
        <v>25</v>
      </c>
      <c r="E362" s="2">
        <v>4820000</v>
      </c>
      <c r="F362" s="2">
        <v>400743.4</v>
      </c>
      <c r="G362" s="2">
        <v>329399.09999999998</v>
      </c>
      <c r="H362" s="2">
        <v>70789.36</v>
      </c>
      <c r="I362" s="2">
        <v>4400.43</v>
      </c>
      <c r="J362">
        <v>34</v>
      </c>
      <c r="K362">
        <v>3</v>
      </c>
      <c r="L362">
        <v>39</v>
      </c>
      <c r="M362">
        <v>3</v>
      </c>
      <c r="N362">
        <v>14</v>
      </c>
      <c r="O362" s="2">
        <v>32821.01</v>
      </c>
      <c r="P362" s="2">
        <v>120.27</v>
      </c>
      <c r="Q362" s="2">
        <v>118.32</v>
      </c>
    </row>
    <row r="363" spans="1:17" x14ac:dyDescent="0.45">
      <c r="A363" s="1">
        <v>44228</v>
      </c>
      <c r="B363">
        <v>2021</v>
      </c>
      <c r="C363">
        <v>5</v>
      </c>
      <c r="D363" t="s">
        <v>28</v>
      </c>
      <c r="E363" s="2">
        <v>22000000</v>
      </c>
      <c r="F363" s="2">
        <v>1809413.55</v>
      </c>
      <c r="G363" s="2">
        <v>1507678.24</v>
      </c>
      <c r="H363" s="2">
        <v>313579.71000000002</v>
      </c>
      <c r="I363" s="2">
        <v>45171.66</v>
      </c>
      <c r="J363">
        <v>177</v>
      </c>
      <c r="K363">
        <v>16</v>
      </c>
      <c r="L363">
        <v>689</v>
      </c>
      <c r="M363">
        <v>9</v>
      </c>
      <c r="N363">
        <v>38</v>
      </c>
      <c r="O363" s="2">
        <v>566709.06000000006</v>
      </c>
      <c r="P363" s="2">
        <v>99.98</v>
      </c>
      <c r="Q363" s="2">
        <v>100.59</v>
      </c>
    </row>
    <row r="364" spans="1:17" x14ac:dyDescent="0.45">
      <c r="A364" s="1">
        <v>44317</v>
      </c>
      <c r="B364">
        <v>2021</v>
      </c>
      <c r="C364">
        <v>8</v>
      </c>
      <c r="D364" t="s">
        <v>21</v>
      </c>
      <c r="E364" s="2">
        <v>8000000</v>
      </c>
      <c r="F364" s="2">
        <v>672128.02</v>
      </c>
      <c r="G364" s="2">
        <v>419971.07</v>
      </c>
      <c r="H364" s="2">
        <v>219998.87</v>
      </c>
      <c r="I364" s="2">
        <v>29010.560000000001</v>
      </c>
      <c r="J364">
        <v>63</v>
      </c>
      <c r="K364">
        <v>5</v>
      </c>
      <c r="L364">
        <v>62</v>
      </c>
      <c r="M364">
        <v>3</v>
      </c>
      <c r="N364">
        <v>20</v>
      </c>
      <c r="O364" s="2">
        <v>73660.98</v>
      </c>
      <c r="P364" s="2">
        <v>106.04</v>
      </c>
      <c r="Q364" s="2">
        <v>100.93</v>
      </c>
    </row>
    <row r="365" spans="1:17" x14ac:dyDescent="0.45">
      <c r="A365" s="1">
        <v>44958</v>
      </c>
      <c r="B365">
        <v>2023</v>
      </c>
      <c r="C365">
        <v>5</v>
      </c>
      <c r="D365" t="s">
        <v>19</v>
      </c>
      <c r="E365" s="2">
        <v>5142000</v>
      </c>
      <c r="F365" s="2">
        <v>427884.18</v>
      </c>
      <c r="G365" s="2">
        <v>362938.05</v>
      </c>
      <c r="H365" s="2">
        <v>61042.84</v>
      </c>
      <c r="I365" s="2">
        <v>5789.78</v>
      </c>
      <c r="J365">
        <v>37</v>
      </c>
      <c r="K365">
        <v>2</v>
      </c>
      <c r="L365">
        <v>46</v>
      </c>
      <c r="M365">
        <v>3</v>
      </c>
      <c r="N365">
        <v>14</v>
      </c>
      <c r="O365" s="2">
        <v>47429.17</v>
      </c>
      <c r="P365" s="2">
        <v>104.2</v>
      </c>
      <c r="Q365" s="2">
        <v>107.74</v>
      </c>
    </row>
    <row r="366" spans="1:17" x14ac:dyDescent="0.45">
      <c r="A366" s="1">
        <v>45689</v>
      </c>
      <c r="B366">
        <v>2025</v>
      </c>
      <c r="C366">
        <v>5</v>
      </c>
      <c r="D366" t="s">
        <v>24</v>
      </c>
      <c r="E366" s="2">
        <v>15492000</v>
      </c>
      <c r="F366" s="2">
        <v>1197070.67</v>
      </c>
      <c r="G366" s="2">
        <v>661156.21</v>
      </c>
      <c r="H366" s="2">
        <v>495285.66</v>
      </c>
      <c r="I366" s="2">
        <v>65731.929999999993</v>
      </c>
      <c r="J366">
        <v>82</v>
      </c>
      <c r="K366">
        <v>6</v>
      </c>
      <c r="L366">
        <v>149</v>
      </c>
      <c r="M366">
        <v>4</v>
      </c>
      <c r="N366">
        <v>23</v>
      </c>
      <c r="O366" s="2">
        <v>201558.51</v>
      </c>
      <c r="P366" s="2">
        <v>111.75</v>
      </c>
      <c r="Q366" s="2">
        <v>115.87</v>
      </c>
    </row>
    <row r="367" spans="1:17" x14ac:dyDescent="0.45">
      <c r="A367" s="1">
        <v>45839</v>
      </c>
      <c r="B367">
        <v>2025</v>
      </c>
      <c r="C367">
        <v>10</v>
      </c>
      <c r="D367" t="s">
        <v>27</v>
      </c>
      <c r="E367" s="2">
        <v>28688000</v>
      </c>
      <c r="F367" s="2">
        <v>2330864.52</v>
      </c>
      <c r="G367" s="2">
        <v>1818970.38</v>
      </c>
      <c r="H367" s="2">
        <v>514847.42</v>
      </c>
      <c r="I367" s="2">
        <v>80726.77</v>
      </c>
      <c r="J367">
        <v>215</v>
      </c>
      <c r="K367">
        <v>15</v>
      </c>
      <c r="L367">
        <v>586</v>
      </c>
      <c r="M367">
        <v>8</v>
      </c>
      <c r="N367">
        <v>36</v>
      </c>
      <c r="O367" s="2">
        <v>571037.28</v>
      </c>
      <c r="P367" s="2">
        <v>115.68</v>
      </c>
      <c r="Q367" s="2">
        <v>116.2</v>
      </c>
    </row>
    <row r="368" spans="1:17" x14ac:dyDescent="0.45">
      <c r="A368" s="1">
        <v>44621</v>
      </c>
      <c r="B368">
        <v>2022</v>
      </c>
      <c r="C368">
        <v>6</v>
      </c>
      <c r="D368" t="s">
        <v>24</v>
      </c>
      <c r="E368" s="2">
        <v>13972000</v>
      </c>
      <c r="F368" s="2">
        <v>1091593.56</v>
      </c>
      <c r="G368" s="2">
        <v>555445.9</v>
      </c>
      <c r="H368" s="2">
        <v>534650.13</v>
      </c>
      <c r="I368" s="2">
        <v>60396.81</v>
      </c>
      <c r="J368">
        <v>77</v>
      </c>
      <c r="K368">
        <v>6</v>
      </c>
      <c r="L368">
        <v>78</v>
      </c>
      <c r="M368">
        <v>7</v>
      </c>
      <c r="N368">
        <v>24</v>
      </c>
      <c r="O368" s="2">
        <v>164989.94</v>
      </c>
      <c r="P368" s="2">
        <v>110.26</v>
      </c>
      <c r="Q368" s="2">
        <v>104.84</v>
      </c>
    </row>
    <row r="369" spans="1:17" x14ac:dyDescent="0.45">
      <c r="A369" s="1">
        <v>45108</v>
      </c>
      <c r="B369">
        <v>2023</v>
      </c>
      <c r="C369">
        <v>10</v>
      </c>
      <c r="D369" t="s">
        <v>21</v>
      </c>
      <c r="E369" s="2">
        <v>8570000</v>
      </c>
      <c r="F369" s="2">
        <v>789478.71</v>
      </c>
      <c r="G369" s="2">
        <v>455220.68</v>
      </c>
      <c r="H369" s="2">
        <v>229338.92</v>
      </c>
      <c r="I369" s="2">
        <v>135411.66</v>
      </c>
      <c r="J369">
        <v>66</v>
      </c>
      <c r="K369">
        <v>6</v>
      </c>
      <c r="L369">
        <v>24</v>
      </c>
      <c r="M369">
        <v>2</v>
      </c>
      <c r="N369">
        <v>16</v>
      </c>
      <c r="O369" s="2">
        <v>59191.92</v>
      </c>
      <c r="P369" s="2">
        <v>102.62</v>
      </c>
      <c r="Q369" s="2">
        <v>109.16</v>
      </c>
    </row>
    <row r="370" spans="1:17" x14ac:dyDescent="0.45">
      <c r="A370" s="1">
        <v>45536</v>
      </c>
      <c r="B370">
        <v>2024</v>
      </c>
      <c r="C370">
        <v>12</v>
      </c>
      <c r="D370" t="s">
        <v>17</v>
      </c>
      <c r="E370" s="2">
        <v>8094000</v>
      </c>
      <c r="F370" s="2">
        <v>666358.17000000004</v>
      </c>
      <c r="G370" s="2">
        <v>363153.03</v>
      </c>
      <c r="H370" s="2">
        <v>295682.34999999998</v>
      </c>
      <c r="I370" s="2">
        <v>22466.12</v>
      </c>
      <c r="J370">
        <v>46</v>
      </c>
      <c r="K370">
        <v>3</v>
      </c>
      <c r="L370">
        <v>71</v>
      </c>
      <c r="M370">
        <v>0</v>
      </c>
      <c r="N370">
        <v>12</v>
      </c>
      <c r="O370" s="2">
        <v>16498.02</v>
      </c>
      <c r="P370" s="2">
        <v>104.28</v>
      </c>
      <c r="Q370" s="2">
        <v>113.08</v>
      </c>
    </row>
    <row r="371" spans="1:17" x14ac:dyDescent="0.45">
      <c r="A371" s="1">
        <v>45078</v>
      </c>
      <c r="B371">
        <v>2023</v>
      </c>
      <c r="C371">
        <v>9</v>
      </c>
      <c r="D371" t="s">
        <v>28</v>
      </c>
      <c r="E371" s="2">
        <v>23567000</v>
      </c>
      <c r="F371" s="2">
        <v>2153388.98</v>
      </c>
      <c r="G371" s="2">
        <v>1634408.54</v>
      </c>
      <c r="H371" s="2">
        <v>370224.73</v>
      </c>
      <c r="I371" s="2">
        <v>44720.74</v>
      </c>
      <c r="J371">
        <v>183</v>
      </c>
      <c r="K371">
        <v>15</v>
      </c>
      <c r="L371">
        <v>835</v>
      </c>
      <c r="M371">
        <v>9</v>
      </c>
      <c r="N371">
        <v>35</v>
      </c>
      <c r="O371" s="2"/>
      <c r="P371" s="2">
        <v>103.52</v>
      </c>
      <c r="Q371" s="2">
        <v>108.01</v>
      </c>
    </row>
    <row r="372" spans="1:17" x14ac:dyDescent="0.45">
      <c r="A372" s="1">
        <v>45597</v>
      </c>
      <c r="B372">
        <v>2025</v>
      </c>
      <c r="C372">
        <v>2</v>
      </c>
      <c r="D372" t="s">
        <v>25</v>
      </c>
      <c r="E372" s="2">
        <v>4820000</v>
      </c>
      <c r="F372" s="2">
        <v>411630.15</v>
      </c>
      <c r="G372" s="2">
        <v>322821.90999999997</v>
      </c>
      <c r="H372" s="2">
        <v>77540.69</v>
      </c>
      <c r="I372" s="2">
        <v>10491.91</v>
      </c>
      <c r="J372">
        <v>32</v>
      </c>
      <c r="K372">
        <v>1</v>
      </c>
      <c r="L372">
        <v>50</v>
      </c>
      <c r="M372">
        <v>0</v>
      </c>
      <c r="N372">
        <v>8</v>
      </c>
      <c r="O372" s="2">
        <v>7247.05</v>
      </c>
      <c r="P372" s="2">
        <v>107.87</v>
      </c>
      <c r="Q372" s="2">
        <v>114.42</v>
      </c>
    </row>
    <row r="373" spans="1:17" x14ac:dyDescent="0.45">
      <c r="A373" s="1">
        <v>45778</v>
      </c>
      <c r="B373">
        <v>2025</v>
      </c>
      <c r="C373">
        <v>8</v>
      </c>
      <c r="D373" t="s">
        <v>28</v>
      </c>
      <c r="E373" s="2">
        <v>25246000</v>
      </c>
      <c r="F373" s="2">
        <v>2247787.56</v>
      </c>
      <c r="G373" s="2">
        <v>1818456.9</v>
      </c>
      <c r="H373" s="2">
        <v>414483.41</v>
      </c>
      <c r="I373" s="2">
        <v>24721.7</v>
      </c>
      <c r="J373">
        <v>186</v>
      </c>
      <c r="K373">
        <v>18</v>
      </c>
      <c r="L373">
        <v>734</v>
      </c>
      <c r="M373">
        <v>7</v>
      </c>
      <c r="N373">
        <v>31</v>
      </c>
      <c r="O373" s="2">
        <v>427253.36</v>
      </c>
      <c r="P373" s="2">
        <v>117.43</v>
      </c>
      <c r="Q373" s="2">
        <v>116.5</v>
      </c>
    </row>
    <row r="374" spans="1:17" x14ac:dyDescent="0.45">
      <c r="A374" s="1">
        <v>44501</v>
      </c>
      <c r="B374">
        <v>2022</v>
      </c>
      <c r="C374">
        <v>2</v>
      </c>
      <c r="D374" t="s">
        <v>27</v>
      </c>
      <c r="E374" s="2">
        <v>25875000</v>
      </c>
      <c r="F374" s="2">
        <v>2513476.9300000002</v>
      </c>
      <c r="G374" s="2">
        <v>1734515.13</v>
      </c>
      <c r="H374" s="2">
        <v>627373.27</v>
      </c>
      <c r="I374" s="2">
        <v>235962.78</v>
      </c>
      <c r="J374">
        <v>211</v>
      </c>
      <c r="K374">
        <v>17</v>
      </c>
      <c r="L374">
        <v>952</v>
      </c>
      <c r="M374">
        <v>10</v>
      </c>
      <c r="N374">
        <v>38</v>
      </c>
      <c r="O374" s="2">
        <v>712376.69</v>
      </c>
      <c r="P374" s="2">
        <v>105.7</v>
      </c>
      <c r="Q374" s="2">
        <v>103.96</v>
      </c>
    </row>
    <row r="375" spans="1:17" x14ac:dyDescent="0.45">
      <c r="A375" s="1">
        <v>45261</v>
      </c>
      <c r="B375">
        <v>2024</v>
      </c>
      <c r="C375">
        <v>3</v>
      </c>
      <c r="D375" t="s">
        <v>24</v>
      </c>
      <c r="E375" s="2">
        <v>14968000</v>
      </c>
      <c r="F375" s="2">
        <v>1172133.6399999999</v>
      </c>
      <c r="G375" s="2">
        <v>610620.24</v>
      </c>
      <c r="H375" s="2">
        <v>498216.66</v>
      </c>
      <c r="I375" s="2">
        <v>91726.79</v>
      </c>
      <c r="J375">
        <v>79</v>
      </c>
      <c r="K375">
        <v>6</v>
      </c>
      <c r="L375">
        <v>138</v>
      </c>
      <c r="M375">
        <v>6</v>
      </c>
      <c r="N375">
        <v>24</v>
      </c>
      <c r="O375" s="2">
        <v>212218.82</v>
      </c>
      <c r="P375" s="2">
        <v>100.46</v>
      </c>
      <c r="Q375" s="2">
        <v>111.49</v>
      </c>
    </row>
    <row r="376" spans="1:17" x14ac:dyDescent="0.45">
      <c r="A376" s="1">
        <v>45231</v>
      </c>
      <c r="B376">
        <v>2024</v>
      </c>
      <c r="C376">
        <v>2</v>
      </c>
      <c r="D376" t="s">
        <v>27</v>
      </c>
      <c r="E376" s="2">
        <v>27718000</v>
      </c>
      <c r="F376" s="2">
        <v>2427503.1800000002</v>
      </c>
      <c r="G376" s="2">
        <v>1903251.79</v>
      </c>
      <c r="H376" s="2">
        <v>526274.4</v>
      </c>
      <c r="I376" s="2">
        <v>44512.55</v>
      </c>
      <c r="J376">
        <v>214</v>
      </c>
      <c r="K376">
        <v>14</v>
      </c>
      <c r="L376">
        <v>970</v>
      </c>
      <c r="M376">
        <v>8</v>
      </c>
      <c r="N376">
        <v>37</v>
      </c>
      <c r="O376" s="2">
        <v>656120.07999999996</v>
      </c>
      <c r="P376" s="2">
        <v>100.57</v>
      </c>
      <c r="Q376" s="2">
        <v>110.3</v>
      </c>
    </row>
    <row r="377" spans="1:17" x14ac:dyDescent="0.45">
      <c r="A377" s="1">
        <v>44958</v>
      </c>
      <c r="B377">
        <v>2023</v>
      </c>
      <c r="C377">
        <v>5</v>
      </c>
      <c r="D377" t="s">
        <v>28</v>
      </c>
      <c r="E377" s="2">
        <v>23567000</v>
      </c>
      <c r="F377" s="2">
        <v>2132439.73</v>
      </c>
      <c r="G377" s="2">
        <v>1634405.3</v>
      </c>
      <c r="H377" s="2">
        <v>399629.14</v>
      </c>
      <c r="I377" s="2">
        <v>25883.86</v>
      </c>
      <c r="J377">
        <v>176</v>
      </c>
      <c r="K377">
        <v>16</v>
      </c>
      <c r="L377">
        <v>604</v>
      </c>
      <c r="M377">
        <v>9</v>
      </c>
      <c r="N377">
        <v>37</v>
      </c>
      <c r="O377" s="2">
        <v>441582.58</v>
      </c>
      <c r="P377" s="2">
        <v>106.49</v>
      </c>
      <c r="Q377" s="2">
        <v>107.32</v>
      </c>
    </row>
    <row r="378" spans="1:17" x14ac:dyDescent="0.45">
      <c r="A378" s="1">
        <v>45931</v>
      </c>
      <c r="B378">
        <v>2026</v>
      </c>
      <c r="C378">
        <v>1</v>
      </c>
      <c r="D378" t="s">
        <v>23</v>
      </c>
      <c r="E378" s="2">
        <v>22566000</v>
      </c>
      <c r="F378" s="2">
        <v>2003625.28</v>
      </c>
      <c r="G378" s="2">
        <v>954092.26</v>
      </c>
      <c r="H378" s="2">
        <v>987436.66</v>
      </c>
      <c r="I378" s="2">
        <v>73062.28</v>
      </c>
      <c r="J378">
        <v>100</v>
      </c>
      <c r="K378">
        <v>7</v>
      </c>
      <c r="L378">
        <v>502</v>
      </c>
      <c r="M378">
        <v>10</v>
      </c>
      <c r="N378">
        <v>36</v>
      </c>
      <c r="O378" s="2">
        <v>488096.03</v>
      </c>
      <c r="P378" s="2">
        <v>121.63</v>
      </c>
      <c r="Q378" s="2">
        <v>118.28</v>
      </c>
    </row>
    <row r="379" spans="1:17" x14ac:dyDescent="0.45">
      <c r="A379" s="1">
        <v>44470</v>
      </c>
      <c r="B379">
        <v>2022</v>
      </c>
      <c r="C379">
        <v>1</v>
      </c>
      <c r="D379" t="s">
        <v>27</v>
      </c>
      <c r="E379" s="2">
        <v>25875000</v>
      </c>
      <c r="F379" s="2">
        <v>2245372.88</v>
      </c>
      <c r="G379" s="2">
        <v>1673426.13</v>
      </c>
      <c r="H379" s="2">
        <v>461391.75</v>
      </c>
      <c r="I379" s="2">
        <v>51834.81</v>
      </c>
      <c r="J379">
        <v>210</v>
      </c>
      <c r="K379">
        <v>16</v>
      </c>
      <c r="L379">
        <v>792</v>
      </c>
      <c r="M379">
        <v>10</v>
      </c>
      <c r="N379">
        <v>36</v>
      </c>
      <c r="O379" s="2">
        <v>605906.36</v>
      </c>
      <c r="P379" s="2">
        <v>105.97</v>
      </c>
      <c r="Q379" s="2">
        <v>102.3</v>
      </c>
    </row>
    <row r="380" spans="1:17" x14ac:dyDescent="0.45">
      <c r="A380" s="1">
        <v>45108</v>
      </c>
      <c r="B380">
        <v>2023</v>
      </c>
      <c r="C380">
        <v>10</v>
      </c>
      <c r="D380" t="s">
        <v>29</v>
      </c>
      <c r="E380" s="2">
        <v>23567000</v>
      </c>
      <c r="F380" s="2">
        <v>2089943.1</v>
      </c>
      <c r="G380" s="2">
        <v>1617763.72</v>
      </c>
      <c r="H380" s="2">
        <v>418822.5</v>
      </c>
      <c r="I380" s="2">
        <v>68114.23</v>
      </c>
      <c r="J380">
        <v>179</v>
      </c>
      <c r="K380">
        <v>12</v>
      </c>
      <c r="L380">
        <v>495</v>
      </c>
      <c r="M380">
        <v>8</v>
      </c>
      <c r="N380">
        <v>34</v>
      </c>
      <c r="O380" s="2">
        <v>480178.56</v>
      </c>
      <c r="P380" s="2">
        <v>103.49</v>
      </c>
      <c r="Q380" s="2">
        <v>109.54</v>
      </c>
    </row>
    <row r="381" spans="1:17" x14ac:dyDescent="0.45">
      <c r="A381" s="1">
        <v>45778</v>
      </c>
      <c r="B381">
        <v>2025</v>
      </c>
      <c r="C381">
        <v>8</v>
      </c>
      <c r="D381" t="s">
        <v>18</v>
      </c>
      <c r="E381" s="2">
        <v>4016000</v>
      </c>
      <c r="F381" s="2">
        <v>332507.46000000002</v>
      </c>
      <c r="G381" s="2">
        <v>289061.49</v>
      </c>
      <c r="H381" s="2">
        <v>47130.12</v>
      </c>
      <c r="I381" s="2">
        <v>4919.1000000000004</v>
      </c>
      <c r="J381">
        <v>28</v>
      </c>
      <c r="K381">
        <v>0</v>
      </c>
      <c r="L381">
        <v>35</v>
      </c>
      <c r="M381">
        <v>2</v>
      </c>
      <c r="N381">
        <v>13</v>
      </c>
      <c r="O381" s="2">
        <v>24674.84</v>
      </c>
      <c r="P381" s="2">
        <v>115.13</v>
      </c>
      <c r="Q381" s="2">
        <v>117.58</v>
      </c>
    </row>
    <row r="382" spans="1:17" x14ac:dyDescent="0.45">
      <c r="A382" s="1">
        <v>44531</v>
      </c>
      <c r="B382">
        <v>2022</v>
      </c>
      <c r="C382">
        <v>3</v>
      </c>
      <c r="D382" t="s">
        <v>23</v>
      </c>
      <c r="E382" s="2">
        <v>19665000</v>
      </c>
      <c r="F382" s="2">
        <v>1363955.4</v>
      </c>
      <c r="G382" s="2">
        <v>737710.99</v>
      </c>
      <c r="H382" s="2">
        <v>714345.67</v>
      </c>
      <c r="I382" s="2">
        <v>111060.7</v>
      </c>
      <c r="J382">
        <v>93</v>
      </c>
      <c r="K382">
        <v>7</v>
      </c>
      <c r="L382">
        <v>493</v>
      </c>
      <c r="M382">
        <v>5</v>
      </c>
      <c r="N382">
        <v>26</v>
      </c>
      <c r="O382" s="2">
        <v>306159.08</v>
      </c>
      <c r="P382" s="2">
        <v>110.4</v>
      </c>
      <c r="Q382" s="2">
        <v>103.66</v>
      </c>
    </row>
    <row r="383" spans="1:17" x14ac:dyDescent="0.45">
      <c r="A383" s="1">
        <v>44805</v>
      </c>
      <c r="B383">
        <v>2022</v>
      </c>
      <c r="C383">
        <v>12</v>
      </c>
      <c r="D383" t="s">
        <v>28</v>
      </c>
      <c r="E383" s="2">
        <v>22770000</v>
      </c>
      <c r="F383" s="2">
        <v>1877846.39</v>
      </c>
      <c r="G383" s="2">
        <v>1476367.69</v>
      </c>
      <c r="H383" s="2">
        <v>349560.46</v>
      </c>
      <c r="I383" s="2">
        <v>37480.5</v>
      </c>
      <c r="J383">
        <v>175</v>
      </c>
      <c r="K383">
        <v>13</v>
      </c>
      <c r="L383">
        <v>667</v>
      </c>
      <c r="M383">
        <v>8</v>
      </c>
      <c r="N383">
        <v>30</v>
      </c>
      <c r="O383" s="2">
        <v>505033.26</v>
      </c>
      <c r="P383" s="2">
        <v>112.87</v>
      </c>
      <c r="Q383" s="2">
        <v>106.05</v>
      </c>
    </row>
    <row r="384" spans="1:17" x14ac:dyDescent="0.45">
      <c r="A384" s="1">
        <v>44835</v>
      </c>
      <c r="B384">
        <v>2023</v>
      </c>
      <c r="C384">
        <v>1</v>
      </c>
      <c r="D384" t="s">
        <v>27</v>
      </c>
      <c r="E384" s="2">
        <v>26781000</v>
      </c>
      <c r="F384" s="2">
        <v>2319283.94</v>
      </c>
      <c r="G384" s="2">
        <v>1675767.54</v>
      </c>
      <c r="H384" s="2">
        <v>623838.86</v>
      </c>
      <c r="I384" s="2">
        <v>58721.72</v>
      </c>
      <c r="J384">
        <v>207</v>
      </c>
      <c r="K384">
        <v>16</v>
      </c>
      <c r="L384">
        <v>888</v>
      </c>
      <c r="M384">
        <v>9</v>
      </c>
      <c r="N384">
        <v>41</v>
      </c>
      <c r="O384" s="2">
        <v>727451.9</v>
      </c>
      <c r="P384" s="2">
        <v>109.98</v>
      </c>
      <c r="Q384" s="2">
        <v>106.56</v>
      </c>
    </row>
    <row r="385" spans="1:17" x14ac:dyDescent="0.45">
      <c r="A385" s="1">
        <v>45108</v>
      </c>
      <c r="B385">
        <v>2023</v>
      </c>
      <c r="C385">
        <v>10</v>
      </c>
      <c r="D385" t="s">
        <v>22</v>
      </c>
      <c r="E385" s="2">
        <v>6642000</v>
      </c>
      <c r="F385" s="2">
        <v>576240.36</v>
      </c>
      <c r="G385" s="2">
        <v>261828.42</v>
      </c>
      <c r="H385" s="2">
        <v>219243.87</v>
      </c>
      <c r="I385" s="2">
        <v>81743.14</v>
      </c>
      <c r="J385">
        <v>31</v>
      </c>
      <c r="K385">
        <v>2</v>
      </c>
      <c r="L385">
        <v>46</v>
      </c>
      <c r="M385">
        <v>0</v>
      </c>
      <c r="N385">
        <v>16</v>
      </c>
      <c r="O385" s="2">
        <v>16686.55</v>
      </c>
      <c r="P385" s="2">
        <v>102.95</v>
      </c>
      <c r="Q385" s="2">
        <v>109.29</v>
      </c>
    </row>
    <row r="386" spans="1:17" x14ac:dyDescent="0.45">
      <c r="A386" s="1">
        <v>45839</v>
      </c>
      <c r="B386">
        <v>2025</v>
      </c>
      <c r="C386">
        <v>10</v>
      </c>
      <c r="D386" t="s">
        <v>19</v>
      </c>
      <c r="E386" s="2">
        <v>5508000</v>
      </c>
      <c r="F386" s="2">
        <v>492240.58</v>
      </c>
      <c r="G386" s="2">
        <v>415987.54</v>
      </c>
      <c r="H386" s="2">
        <v>69850.320000000007</v>
      </c>
      <c r="I386" s="2">
        <v>4996.1099999999997</v>
      </c>
      <c r="J386">
        <v>39</v>
      </c>
      <c r="K386">
        <v>3</v>
      </c>
      <c r="L386">
        <v>43</v>
      </c>
      <c r="M386">
        <v>1</v>
      </c>
      <c r="N386">
        <v>13</v>
      </c>
      <c r="O386" s="2">
        <v>21263.62</v>
      </c>
      <c r="P386" s="2">
        <v>120.25</v>
      </c>
      <c r="Q386" s="2">
        <v>117.14</v>
      </c>
    </row>
    <row r="387" spans="1:17" x14ac:dyDescent="0.45">
      <c r="A387" s="1">
        <v>45901</v>
      </c>
      <c r="B387">
        <v>2025</v>
      </c>
      <c r="C387">
        <v>12</v>
      </c>
      <c r="D387" t="s">
        <v>22</v>
      </c>
      <c r="E387" s="2">
        <v>7115000</v>
      </c>
      <c r="F387" s="2">
        <v>601904.48</v>
      </c>
      <c r="G387" s="2">
        <v>294584.81</v>
      </c>
      <c r="H387" s="2">
        <v>292108.95</v>
      </c>
      <c r="I387" s="2">
        <v>11274.36</v>
      </c>
      <c r="J387">
        <v>31</v>
      </c>
      <c r="K387">
        <v>4</v>
      </c>
      <c r="L387">
        <v>34</v>
      </c>
      <c r="M387">
        <v>5</v>
      </c>
      <c r="N387">
        <v>13</v>
      </c>
      <c r="O387" s="2">
        <v>69490.62</v>
      </c>
      <c r="P387" s="2">
        <v>120.44</v>
      </c>
      <c r="Q387" s="2">
        <v>117.93</v>
      </c>
    </row>
    <row r="388" spans="1:17" x14ac:dyDescent="0.45">
      <c r="A388" s="1">
        <v>45505</v>
      </c>
      <c r="B388">
        <v>2024</v>
      </c>
      <c r="C388">
        <v>11</v>
      </c>
      <c r="D388" t="s">
        <v>17</v>
      </c>
      <c r="E388" s="2">
        <v>8094000</v>
      </c>
      <c r="F388" s="2">
        <v>726985.08</v>
      </c>
      <c r="G388" s="2">
        <v>359376.97</v>
      </c>
      <c r="H388" s="2">
        <v>319677.09999999998</v>
      </c>
      <c r="I388" s="2">
        <v>20946.66</v>
      </c>
      <c r="J388">
        <v>44</v>
      </c>
      <c r="L388">
        <v>79</v>
      </c>
      <c r="M388">
        <v>3</v>
      </c>
      <c r="N388">
        <v>15</v>
      </c>
      <c r="O388" s="2">
        <v>65995.91</v>
      </c>
      <c r="P388" s="2">
        <v>107.59</v>
      </c>
      <c r="Q388" s="2">
        <v>113.22</v>
      </c>
    </row>
    <row r="389" spans="1:17" x14ac:dyDescent="0.45">
      <c r="A389" s="1">
        <v>45170</v>
      </c>
      <c r="B389">
        <v>2023</v>
      </c>
      <c r="C389">
        <v>12</v>
      </c>
      <c r="D389" t="s">
        <v>23</v>
      </c>
      <c r="E389" s="2">
        <v>20353000</v>
      </c>
      <c r="F389" s="2">
        <v>1649643.31</v>
      </c>
      <c r="G389" s="2">
        <v>784808.69</v>
      </c>
      <c r="H389" s="2">
        <v>784158.64</v>
      </c>
      <c r="I389" s="2">
        <v>38385.65</v>
      </c>
      <c r="J389">
        <v>95</v>
      </c>
      <c r="K389">
        <v>7</v>
      </c>
      <c r="L389">
        <v>405</v>
      </c>
      <c r="M389">
        <v>7</v>
      </c>
      <c r="N389">
        <v>31</v>
      </c>
      <c r="O389" s="2">
        <v>330868.08</v>
      </c>
      <c r="P389" s="2">
        <v>97.47</v>
      </c>
      <c r="Q389" s="2">
        <v>109.3</v>
      </c>
    </row>
    <row r="390" spans="1:17" x14ac:dyDescent="0.45">
      <c r="A390" s="1">
        <v>45717</v>
      </c>
      <c r="B390">
        <v>2025</v>
      </c>
      <c r="C390">
        <v>6</v>
      </c>
      <c r="D390" t="s">
        <v>28</v>
      </c>
      <c r="E390" s="2">
        <v>25246000</v>
      </c>
      <c r="F390" s="2">
        <v>2277084.37</v>
      </c>
      <c r="G390" s="2">
        <v>1781517.94</v>
      </c>
      <c r="H390" s="2">
        <v>412374.74</v>
      </c>
      <c r="I390" s="2">
        <v>19773.259999999998</v>
      </c>
      <c r="J390">
        <v>187</v>
      </c>
      <c r="K390">
        <v>15</v>
      </c>
      <c r="L390">
        <v>718</v>
      </c>
      <c r="M390">
        <v>8</v>
      </c>
      <c r="N390">
        <v>30</v>
      </c>
      <c r="O390" s="2">
        <v>454288.55</v>
      </c>
      <c r="P390" s="2">
        <v>111.37</v>
      </c>
      <c r="Q390" s="2">
        <v>115.77</v>
      </c>
    </row>
    <row r="391" spans="1:17" x14ac:dyDescent="0.45">
      <c r="A391" s="1">
        <v>44228</v>
      </c>
      <c r="B391">
        <v>2021</v>
      </c>
      <c r="C391">
        <v>5</v>
      </c>
      <c r="D391" t="s">
        <v>18</v>
      </c>
      <c r="E391" s="2">
        <v>3500000</v>
      </c>
      <c r="F391" s="2">
        <v>283478.33</v>
      </c>
      <c r="G391" s="2">
        <v>234298.47</v>
      </c>
      <c r="H391" s="2">
        <v>36992.81</v>
      </c>
      <c r="I391" s="2">
        <v>6662.56</v>
      </c>
      <c r="J391">
        <v>27</v>
      </c>
      <c r="L391">
        <v>18</v>
      </c>
      <c r="M391">
        <v>3</v>
      </c>
      <c r="N391">
        <v>16</v>
      </c>
      <c r="O391" s="2">
        <v>27954.53</v>
      </c>
      <c r="P391" s="2">
        <v>100.29</v>
      </c>
      <c r="Q391" s="2">
        <v>99.11</v>
      </c>
    </row>
    <row r="392" spans="1:17" x14ac:dyDescent="0.45">
      <c r="A392" s="1">
        <v>44317</v>
      </c>
      <c r="B392">
        <v>2021</v>
      </c>
      <c r="C392">
        <v>8</v>
      </c>
      <c r="D392" t="s">
        <v>28</v>
      </c>
      <c r="E392" s="2">
        <v>22000000</v>
      </c>
      <c r="F392" s="2">
        <v>1834095.47</v>
      </c>
      <c r="G392" s="2">
        <v>1474429.94</v>
      </c>
      <c r="H392" s="2">
        <v>381660.12</v>
      </c>
      <c r="I392" s="2">
        <v>43944.41</v>
      </c>
      <c r="J392">
        <v>172</v>
      </c>
      <c r="K392">
        <v>14</v>
      </c>
      <c r="L392">
        <v>849</v>
      </c>
      <c r="M392">
        <v>9</v>
      </c>
      <c r="N392">
        <v>34</v>
      </c>
      <c r="O392" s="2">
        <v>516274.66</v>
      </c>
      <c r="P392" s="2">
        <v>107.09</v>
      </c>
      <c r="Q392" s="2">
        <v>102.25</v>
      </c>
    </row>
    <row r="393" spans="1:17" x14ac:dyDescent="0.45">
      <c r="A393" s="1">
        <v>45870</v>
      </c>
      <c r="B393">
        <v>2025</v>
      </c>
      <c r="C393">
        <v>11</v>
      </c>
      <c r="D393" t="s">
        <v>19</v>
      </c>
      <c r="E393" s="2">
        <v>5508000</v>
      </c>
      <c r="F393" s="2">
        <v>481586.28</v>
      </c>
      <c r="G393" s="2">
        <v>409451.37</v>
      </c>
      <c r="H393" s="2">
        <v>67698.350000000006</v>
      </c>
      <c r="I393" s="2">
        <v>4619.25</v>
      </c>
      <c r="J393">
        <v>39</v>
      </c>
      <c r="K393">
        <v>2</v>
      </c>
      <c r="L393">
        <v>20</v>
      </c>
      <c r="M393">
        <v>1</v>
      </c>
      <c r="N393">
        <v>10</v>
      </c>
      <c r="O393" s="2">
        <v>16887.11</v>
      </c>
      <c r="P393" s="2">
        <v>115.91</v>
      </c>
      <c r="Q393" s="2">
        <v>117.94</v>
      </c>
    </row>
    <row r="394" spans="1:17" x14ac:dyDescent="0.45">
      <c r="A394" s="1">
        <v>44652</v>
      </c>
      <c r="B394">
        <v>2022</v>
      </c>
      <c r="C394">
        <v>7</v>
      </c>
      <c r="D394" t="s">
        <v>25</v>
      </c>
      <c r="E394" s="2">
        <v>4347000</v>
      </c>
      <c r="F394" s="2">
        <v>364932.31</v>
      </c>
      <c r="G394" s="2">
        <v>296428.83</v>
      </c>
      <c r="H394" s="2">
        <v>66595.509999999995</v>
      </c>
      <c r="I394" s="2">
        <v>3840.21</v>
      </c>
      <c r="J394">
        <v>33</v>
      </c>
      <c r="K394">
        <v>0</v>
      </c>
      <c r="L394">
        <v>60</v>
      </c>
      <c r="M394">
        <v>2</v>
      </c>
      <c r="N394">
        <v>10</v>
      </c>
      <c r="O394" s="2">
        <v>24253.53</v>
      </c>
      <c r="P394" s="2">
        <v>110.48</v>
      </c>
      <c r="Q394" s="2">
        <v>105.24</v>
      </c>
    </row>
    <row r="395" spans="1:17" x14ac:dyDescent="0.45">
      <c r="A395" s="1">
        <v>44348</v>
      </c>
      <c r="B395">
        <v>2021</v>
      </c>
      <c r="C395">
        <v>9</v>
      </c>
      <c r="D395" t="s">
        <v>18</v>
      </c>
      <c r="E395" s="2">
        <v>3500000</v>
      </c>
      <c r="F395" s="2">
        <v>284516.71000000002</v>
      </c>
      <c r="G395" s="2">
        <v>239174.91</v>
      </c>
      <c r="H395" s="2">
        <v>38714.78</v>
      </c>
      <c r="I395" s="2">
        <v>2746.01</v>
      </c>
      <c r="J395">
        <v>27</v>
      </c>
      <c r="K395">
        <v>1</v>
      </c>
      <c r="L395">
        <v>27</v>
      </c>
      <c r="M395">
        <v>5</v>
      </c>
      <c r="N395">
        <v>15</v>
      </c>
      <c r="O395" s="2">
        <v>44941.99</v>
      </c>
      <c r="P395" s="2">
        <v>106.46</v>
      </c>
      <c r="Q395" s="2">
        <v>101.86</v>
      </c>
    </row>
    <row r="396" spans="1:17" x14ac:dyDescent="0.45">
      <c r="A396" s="1">
        <v>44896</v>
      </c>
      <c r="B396">
        <v>2023</v>
      </c>
      <c r="C396">
        <v>3</v>
      </c>
      <c r="D396" t="s">
        <v>27</v>
      </c>
      <c r="E396" s="2">
        <v>26781000</v>
      </c>
      <c r="F396" s="2">
        <v>2387164.6</v>
      </c>
      <c r="G396" s="2">
        <v>1810122.07</v>
      </c>
      <c r="H396" s="2">
        <v>589207.55000000005</v>
      </c>
      <c r="I396" s="2">
        <v>69494.149999999994</v>
      </c>
      <c r="J396">
        <v>211</v>
      </c>
      <c r="K396">
        <v>18</v>
      </c>
      <c r="L396">
        <v>1236</v>
      </c>
      <c r="M396">
        <v>12</v>
      </c>
      <c r="N396">
        <v>38</v>
      </c>
      <c r="O396" s="2">
        <v>767532.14</v>
      </c>
      <c r="P396" s="2">
        <v>105.8</v>
      </c>
      <c r="Q396" s="2">
        <v>106.18</v>
      </c>
    </row>
    <row r="397" spans="1:17" x14ac:dyDescent="0.45">
      <c r="A397" s="1">
        <v>45413</v>
      </c>
      <c r="B397">
        <v>2024</v>
      </c>
      <c r="C397">
        <v>8</v>
      </c>
      <c r="D397" t="s">
        <v>21</v>
      </c>
      <c r="E397" s="2">
        <v>8870000</v>
      </c>
      <c r="F397" s="2">
        <v>778275.95</v>
      </c>
      <c r="G397" s="2">
        <v>482270.53</v>
      </c>
      <c r="H397" s="2">
        <v>275326.59999999998</v>
      </c>
      <c r="I397" s="2">
        <v>21188</v>
      </c>
      <c r="J397">
        <v>65</v>
      </c>
      <c r="K397">
        <v>4</v>
      </c>
      <c r="L397">
        <v>99</v>
      </c>
      <c r="M397">
        <v>2</v>
      </c>
      <c r="N397">
        <v>19</v>
      </c>
      <c r="O397" s="2">
        <v>65541.11</v>
      </c>
      <c r="P397" s="2">
        <v>102.93</v>
      </c>
      <c r="Q397" s="2">
        <v>112.24</v>
      </c>
    </row>
    <row r="398" spans="1:17" x14ac:dyDescent="0.45">
      <c r="A398" s="1">
        <v>44256</v>
      </c>
      <c r="B398">
        <v>2021</v>
      </c>
      <c r="C398">
        <v>6</v>
      </c>
      <c r="D398" t="s">
        <v>21</v>
      </c>
      <c r="E398" s="2">
        <v>8000000</v>
      </c>
      <c r="F398" s="2">
        <v>635110.23</v>
      </c>
      <c r="G398" s="2">
        <v>434379.26</v>
      </c>
      <c r="H398" s="2">
        <v>182708.38</v>
      </c>
      <c r="I398" s="2">
        <v>26373.1</v>
      </c>
      <c r="J398">
        <v>65</v>
      </c>
      <c r="K398">
        <v>3</v>
      </c>
      <c r="L398">
        <v>125</v>
      </c>
      <c r="M398">
        <v>1</v>
      </c>
      <c r="N398">
        <v>13</v>
      </c>
      <c r="O398" s="2">
        <v>28179.61</v>
      </c>
      <c r="P398" s="2">
        <v>102.29</v>
      </c>
      <c r="Q398" s="2">
        <v>100.98</v>
      </c>
    </row>
    <row r="399" spans="1:17" x14ac:dyDescent="0.45">
      <c r="A399" s="1">
        <v>45689</v>
      </c>
      <c r="B399">
        <v>2025</v>
      </c>
      <c r="C399">
        <v>5</v>
      </c>
      <c r="D399" t="s">
        <v>22</v>
      </c>
      <c r="E399" s="2">
        <v>7115000</v>
      </c>
      <c r="F399" s="2">
        <v>647068.03</v>
      </c>
      <c r="G399" s="2">
        <v>309222.82</v>
      </c>
      <c r="H399" s="2">
        <v>237012.06</v>
      </c>
      <c r="I399" s="2">
        <v>118236.13</v>
      </c>
      <c r="J399">
        <v>32</v>
      </c>
      <c r="K399">
        <v>2</v>
      </c>
      <c r="L399">
        <v>28</v>
      </c>
      <c r="M399">
        <v>6</v>
      </c>
      <c r="N399">
        <v>15</v>
      </c>
      <c r="O399" s="2">
        <v>107024.23</v>
      </c>
      <c r="P399" s="2">
        <v>108.59</v>
      </c>
      <c r="Q399" s="2">
        <v>115.47</v>
      </c>
    </row>
    <row r="400" spans="1:17" x14ac:dyDescent="0.45">
      <c r="A400" s="1">
        <v>45962</v>
      </c>
      <c r="B400">
        <v>2026</v>
      </c>
      <c r="C400">
        <v>2</v>
      </c>
      <c r="D400" t="s">
        <v>19</v>
      </c>
      <c r="E400" s="2">
        <v>5701000</v>
      </c>
      <c r="F400" s="2">
        <v>553734.52</v>
      </c>
      <c r="G400" s="2">
        <v>426904.3</v>
      </c>
      <c r="H400" s="2">
        <v>80505.8</v>
      </c>
      <c r="I400" s="2">
        <v>42561.13</v>
      </c>
      <c r="J400">
        <v>38</v>
      </c>
      <c r="K400">
        <v>3</v>
      </c>
      <c r="L400">
        <v>45</v>
      </c>
      <c r="M400">
        <v>2</v>
      </c>
      <c r="N400">
        <v>15</v>
      </c>
      <c r="O400" s="2">
        <v>39889.94</v>
      </c>
      <c r="P400" s="2">
        <v>122.99</v>
      </c>
      <c r="Q400" s="2">
        <v>118.69</v>
      </c>
    </row>
    <row r="401" spans="1:17" x14ac:dyDescent="0.45">
      <c r="A401" s="1">
        <v>44348</v>
      </c>
      <c r="B401">
        <v>2021</v>
      </c>
      <c r="C401">
        <v>9</v>
      </c>
      <c r="D401" t="s">
        <v>17</v>
      </c>
      <c r="E401" s="2">
        <v>7300000</v>
      </c>
      <c r="F401" s="2">
        <v>618327.03</v>
      </c>
      <c r="G401" s="2">
        <v>319949.92</v>
      </c>
      <c r="H401" s="2">
        <v>294233.8</v>
      </c>
      <c r="I401" s="2">
        <v>16925.88</v>
      </c>
      <c r="J401">
        <v>43</v>
      </c>
      <c r="K401">
        <v>1</v>
      </c>
      <c r="L401">
        <v>77</v>
      </c>
      <c r="M401">
        <v>2</v>
      </c>
      <c r="N401">
        <v>16</v>
      </c>
      <c r="O401" s="2">
        <v>53207.97</v>
      </c>
      <c r="P401" s="2">
        <v>103.95</v>
      </c>
      <c r="Q401" s="2">
        <v>101.73</v>
      </c>
    </row>
    <row r="402" spans="1:17" x14ac:dyDescent="0.45">
      <c r="A402" s="1">
        <v>45352</v>
      </c>
      <c r="B402">
        <v>2024</v>
      </c>
      <c r="C402">
        <v>6</v>
      </c>
      <c r="D402" t="s">
        <v>23</v>
      </c>
      <c r="E402" s="2">
        <v>21066000</v>
      </c>
      <c r="F402" s="2">
        <v>1838715.06</v>
      </c>
      <c r="G402" s="2">
        <v>798136.96</v>
      </c>
      <c r="H402" s="2">
        <v>963598.31</v>
      </c>
      <c r="I402" s="2">
        <v>115490.07</v>
      </c>
      <c r="J402">
        <v>95</v>
      </c>
      <c r="K402">
        <v>8</v>
      </c>
      <c r="L402">
        <v>418</v>
      </c>
      <c r="M402">
        <v>8</v>
      </c>
      <c r="N402">
        <v>28</v>
      </c>
      <c r="O402" s="2">
        <v>465134.76</v>
      </c>
      <c r="P402" s="2">
        <v>102.01</v>
      </c>
      <c r="Q402" s="2">
        <v>112.17</v>
      </c>
    </row>
    <row r="403" spans="1:17" x14ac:dyDescent="0.45">
      <c r="A403" s="1">
        <v>44378</v>
      </c>
      <c r="B403">
        <v>2021</v>
      </c>
      <c r="C403">
        <v>10</v>
      </c>
      <c r="D403" t="s">
        <v>19</v>
      </c>
      <c r="E403" s="2">
        <v>4800000</v>
      </c>
      <c r="F403" s="2">
        <v>370790.96</v>
      </c>
      <c r="G403" s="2">
        <v>307247.56</v>
      </c>
      <c r="H403" s="2">
        <v>57225.2</v>
      </c>
      <c r="I403" s="2">
        <v>4433.95</v>
      </c>
      <c r="J403">
        <v>35</v>
      </c>
      <c r="K403">
        <v>0</v>
      </c>
      <c r="L403">
        <v>40</v>
      </c>
      <c r="M403">
        <v>2</v>
      </c>
      <c r="N403">
        <v>10</v>
      </c>
      <c r="O403" s="2">
        <v>27592.42</v>
      </c>
      <c r="P403" s="2">
        <v>106.32</v>
      </c>
      <c r="Q403" s="2">
        <v>102.23</v>
      </c>
    </row>
    <row r="404" spans="1:17" x14ac:dyDescent="0.45">
      <c r="A404" s="1">
        <v>44470</v>
      </c>
      <c r="B404">
        <v>2022</v>
      </c>
      <c r="C404">
        <v>1</v>
      </c>
      <c r="D404" t="s">
        <v>25</v>
      </c>
      <c r="E404" s="2">
        <v>4347000</v>
      </c>
      <c r="F404" s="2">
        <v>368901.32</v>
      </c>
      <c r="G404" s="2">
        <v>289661.63</v>
      </c>
      <c r="H404" s="2">
        <v>68309.259999999995</v>
      </c>
      <c r="I404" s="2">
        <v>9932.57</v>
      </c>
      <c r="J404">
        <v>32</v>
      </c>
      <c r="K404">
        <v>0</v>
      </c>
      <c r="L404">
        <v>32</v>
      </c>
      <c r="M404">
        <v>4</v>
      </c>
      <c r="N404">
        <v>20</v>
      </c>
      <c r="O404" s="2">
        <v>33335.370000000003</v>
      </c>
      <c r="P404" s="2">
        <v>112.15</v>
      </c>
      <c r="Q404" s="2">
        <v>102.77</v>
      </c>
    </row>
    <row r="405" spans="1:17" x14ac:dyDescent="0.45">
      <c r="A405" s="1">
        <v>45323</v>
      </c>
      <c r="B405">
        <v>2024</v>
      </c>
      <c r="C405">
        <v>5</v>
      </c>
      <c r="D405" t="s">
        <v>21</v>
      </c>
      <c r="E405" s="2">
        <v>8870000</v>
      </c>
      <c r="F405" s="2">
        <v>723010.1</v>
      </c>
      <c r="G405" s="2">
        <v>469949.61</v>
      </c>
      <c r="H405" s="2">
        <v>231992.67</v>
      </c>
      <c r="I405" s="2">
        <v>33510.25</v>
      </c>
      <c r="J405">
        <v>67</v>
      </c>
      <c r="K405">
        <v>8</v>
      </c>
      <c r="L405">
        <v>64</v>
      </c>
      <c r="M405">
        <v>1</v>
      </c>
      <c r="N405">
        <v>11</v>
      </c>
      <c r="O405" s="2">
        <v>25742.89</v>
      </c>
      <c r="P405" s="2">
        <v>101.25</v>
      </c>
      <c r="Q405" s="2">
        <v>111.72</v>
      </c>
    </row>
    <row r="406" spans="1:17" x14ac:dyDescent="0.45">
      <c r="A406" s="1">
        <v>45566</v>
      </c>
      <c r="B406">
        <v>2025</v>
      </c>
      <c r="C406">
        <v>1</v>
      </c>
      <c r="D406" t="s">
        <v>17</v>
      </c>
      <c r="E406" s="2">
        <v>8377000</v>
      </c>
      <c r="F406" s="2">
        <v>722097.41</v>
      </c>
      <c r="G406" s="2">
        <v>389134.81</v>
      </c>
      <c r="H406" s="2">
        <v>297320.71999999997</v>
      </c>
      <c r="I406" s="2">
        <v>17538.95</v>
      </c>
      <c r="J406">
        <v>45</v>
      </c>
      <c r="K406">
        <v>3</v>
      </c>
      <c r="L406">
        <v>59</v>
      </c>
      <c r="M406">
        <v>1</v>
      </c>
      <c r="N406">
        <v>12</v>
      </c>
      <c r="O406" s="2">
        <v>24245.01</v>
      </c>
      <c r="P406" s="2">
        <v>103.2</v>
      </c>
      <c r="Q406" s="2">
        <v>114.21</v>
      </c>
    </row>
    <row r="407" spans="1:17" x14ac:dyDescent="0.45">
      <c r="A407" s="1">
        <v>44378</v>
      </c>
      <c r="B407">
        <v>2021</v>
      </c>
      <c r="C407">
        <v>10</v>
      </c>
      <c r="D407" t="s">
        <v>18</v>
      </c>
      <c r="E407" s="2">
        <v>3500000</v>
      </c>
      <c r="F407" s="2">
        <v>307646.77</v>
      </c>
      <c r="G407" s="2">
        <v>264102.53999999998</v>
      </c>
      <c r="H407" s="2">
        <v>38113.760000000002</v>
      </c>
      <c r="I407" s="2">
        <v>5586.98</v>
      </c>
      <c r="J407">
        <v>27</v>
      </c>
      <c r="K407">
        <v>5</v>
      </c>
      <c r="L407">
        <v>50</v>
      </c>
      <c r="M407">
        <v>1</v>
      </c>
      <c r="N407">
        <v>9</v>
      </c>
      <c r="O407" s="2">
        <v>10744.69</v>
      </c>
      <c r="P407" s="2">
        <v>109.49</v>
      </c>
      <c r="Q407" s="2">
        <v>100.89</v>
      </c>
    </row>
    <row r="408" spans="1:17" x14ac:dyDescent="0.45">
      <c r="A408" s="1">
        <v>45748</v>
      </c>
      <c r="B408">
        <v>2025</v>
      </c>
      <c r="C408">
        <v>7</v>
      </c>
      <c r="D408" t="s">
        <v>19</v>
      </c>
      <c r="E408" s="2">
        <v>5508000</v>
      </c>
      <c r="F408" s="2">
        <v>486046.29</v>
      </c>
      <c r="G408" s="2">
        <v>406326.23</v>
      </c>
      <c r="H408" s="2">
        <v>67779.45</v>
      </c>
      <c r="I408" s="2">
        <v>11556.17</v>
      </c>
      <c r="J408">
        <v>38</v>
      </c>
      <c r="K408">
        <v>4</v>
      </c>
      <c r="L408">
        <v>24</v>
      </c>
      <c r="M408">
        <v>3</v>
      </c>
      <c r="N408">
        <v>11</v>
      </c>
      <c r="O408" s="2">
        <v>32522.01</v>
      </c>
      <c r="P408" s="2">
        <v>108.96</v>
      </c>
      <c r="Q408" s="2">
        <v>115.86</v>
      </c>
    </row>
    <row r="409" spans="1:17" x14ac:dyDescent="0.45">
      <c r="A409" s="1">
        <v>44256</v>
      </c>
      <c r="B409">
        <v>2021</v>
      </c>
      <c r="C409">
        <v>6</v>
      </c>
      <c r="D409" t="s">
        <v>28</v>
      </c>
      <c r="E409" s="2">
        <v>22000000</v>
      </c>
      <c r="F409" s="2">
        <v>1743918.57</v>
      </c>
      <c r="G409" s="2">
        <v>1393732.7</v>
      </c>
      <c r="H409" s="2">
        <v>368901.7</v>
      </c>
      <c r="I409" s="2">
        <v>31488.07</v>
      </c>
      <c r="J409">
        <v>173</v>
      </c>
      <c r="K409">
        <v>10</v>
      </c>
      <c r="L409">
        <v>593</v>
      </c>
      <c r="M409">
        <v>8</v>
      </c>
      <c r="N409">
        <v>32</v>
      </c>
      <c r="O409" s="2">
        <v>306876.2</v>
      </c>
      <c r="P409" s="2">
        <v>103.15</v>
      </c>
      <c r="Q409" s="2">
        <v>99.54</v>
      </c>
    </row>
    <row r="410" spans="1:17" x14ac:dyDescent="0.45">
      <c r="A410" s="1">
        <v>45809</v>
      </c>
      <c r="B410">
        <v>2025</v>
      </c>
      <c r="C410">
        <v>9</v>
      </c>
      <c r="D410" t="s">
        <v>18</v>
      </c>
      <c r="E410" s="2">
        <v>4016000</v>
      </c>
      <c r="F410" s="2">
        <v>353029.43</v>
      </c>
      <c r="G410" s="2">
        <v>300297.57</v>
      </c>
      <c r="H410" s="2">
        <v>48329.73</v>
      </c>
      <c r="I410" s="2">
        <v>1898.12</v>
      </c>
      <c r="J410">
        <v>29</v>
      </c>
      <c r="K410">
        <v>6</v>
      </c>
      <c r="L410">
        <v>9</v>
      </c>
      <c r="M410">
        <v>2</v>
      </c>
      <c r="N410">
        <v>6</v>
      </c>
      <c r="O410" s="2">
        <v>22570.42</v>
      </c>
      <c r="P410" s="2">
        <v>113</v>
      </c>
      <c r="Q410" s="2">
        <v>116.53</v>
      </c>
    </row>
    <row r="411" spans="1:17" x14ac:dyDescent="0.45">
      <c r="A411" s="1">
        <v>45170</v>
      </c>
      <c r="B411">
        <v>2023</v>
      </c>
      <c r="C411">
        <v>12</v>
      </c>
      <c r="D411" t="s">
        <v>28</v>
      </c>
      <c r="E411" s="2">
        <v>23567000</v>
      </c>
      <c r="F411" s="2">
        <v>2116664.2599999998</v>
      </c>
      <c r="G411" s="2">
        <v>1692086.91</v>
      </c>
      <c r="H411" s="2">
        <v>412288.18</v>
      </c>
      <c r="I411" s="2">
        <v>50383.85</v>
      </c>
      <c r="J411">
        <v>181</v>
      </c>
      <c r="K411">
        <v>12</v>
      </c>
      <c r="L411">
        <v>810</v>
      </c>
      <c r="M411">
        <v>5</v>
      </c>
      <c r="N411">
        <v>31</v>
      </c>
      <c r="O411" s="2">
        <v>281657.13</v>
      </c>
      <c r="P411" s="2">
        <v>105.85</v>
      </c>
      <c r="Q411" s="2">
        <v>110.54</v>
      </c>
    </row>
    <row r="412" spans="1:17" x14ac:dyDescent="0.45">
      <c r="A412" s="1">
        <v>45444</v>
      </c>
      <c r="B412">
        <v>2024</v>
      </c>
      <c r="C412">
        <v>9</v>
      </c>
      <c r="D412" t="s">
        <v>21</v>
      </c>
      <c r="E412" s="2">
        <v>8870000</v>
      </c>
      <c r="F412" s="2">
        <v>771691.98</v>
      </c>
      <c r="G412" s="2">
        <v>485037.41</v>
      </c>
      <c r="H412" s="2">
        <v>270430</v>
      </c>
      <c r="I412" s="2">
        <v>22965.119999999999</v>
      </c>
      <c r="J412">
        <v>67</v>
      </c>
      <c r="K412">
        <v>10</v>
      </c>
      <c r="L412">
        <v>114</v>
      </c>
      <c r="M412">
        <v>1</v>
      </c>
      <c r="N412">
        <v>9</v>
      </c>
      <c r="O412" s="2">
        <v>33273.69</v>
      </c>
      <c r="P412" s="2">
        <v>102.75</v>
      </c>
      <c r="Q412" s="2">
        <v>112.91</v>
      </c>
    </row>
    <row r="413" spans="1:17" x14ac:dyDescent="0.45">
      <c r="A413" s="1">
        <v>44682</v>
      </c>
      <c r="B413">
        <v>2022</v>
      </c>
      <c r="C413">
        <v>8</v>
      </c>
      <c r="D413" t="s">
        <v>21</v>
      </c>
      <c r="E413" s="2">
        <v>8280000</v>
      </c>
      <c r="F413" s="2">
        <v>697847.8</v>
      </c>
      <c r="G413" s="2">
        <v>431264.66</v>
      </c>
      <c r="H413" s="2">
        <v>209758.03</v>
      </c>
      <c r="I413" s="2">
        <v>78377.55</v>
      </c>
      <c r="J413">
        <v>64</v>
      </c>
      <c r="K413">
        <v>9</v>
      </c>
      <c r="L413">
        <v>137</v>
      </c>
      <c r="M413">
        <v>0</v>
      </c>
      <c r="N413">
        <v>8</v>
      </c>
      <c r="O413" s="2">
        <v>9884.9699999999993</v>
      </c>
      <c r="P413" s="2">
        <v>109.79</v>
      </c>
      <c r="Q413" s="2">
        <v>104.01</v>
      </c>
    </row>
    <row r="414" spans="1:17" x14ac:dyDescent="0.45">
      <c r="A414" s="1">
        <v>45536</v>
      </c>
      <c r="B414">
        <v>2024</v>
      </c>
      <c r="C414">
        <v>12</v>
      </c>
      <c r="D414" t="s">
        <v>23</v>
      </c>
      <c r="E414" s="2">
        <v>21066000</v>
      </c>
      <c r="F414" s="2">
        <v>2044246.16</v>
      </c>
      <c r="G414" s="2">
        <v>790271.85</v>
      </c>
      <c r="H414" s="2">
        <v>943747.76</v>
      </c>
      <c r="I414" s="2">
        <v>322843.01</v>
      </c>
      <c r="J414">
        <v>97</v>
      </c>
      <c r="K414">
        <v>3</v>
      </c>
      <c r="L414">
        <v>422</v>
      </c>
      <c r="M414">
        <v>7</v>
      </c>
      <c r="N414">
        <v>31</v>
      </c>
      <c r="O414" s="2">
        <v>473495.01</v>
      </c>
      <c r="P414" s="2">
        <v>106.73</v>
      </c>
      <c r="Q414" s="2">
        <v>114.67</v>
      </c>
    </row>
    <row r="415" spans="1:17" x14ac:dyDescent="0.45">
      <c r="A415" s="1">
        <v>45901</v>
      </c>
      <c r="B415">
        <v>2025</v>
      </c>
      <c r="C415">
        <v>12</v>
      </c>
      <c r="D415" t="s">
        <v>25</v>
      </c>
      <c r="E415" s="2">
        <v>4820000</v>
      </c>
      <c r="F415" s="2">
        <v>394225</v>
      </c>
      <c r="G415" s="2">
        <v>323739.52000000002</v>
      </c>
      <c r="H415" s="2">
        <v>67377.320000000007</v>
      </c>
      <c r="I415" s="2">
        <v>2805.71</v>
      </c>
      <c r="J415">
        <v>33</v>
      </c>
      <c r="K415">
        <v>4</v>
      </c>
      <c r="L415">
        <v>48</v>
      </c>
      <c r="M415">
        <v>3</v>
      </c>
      <c r="N415">
        <v>19</v>
      </c>
      <c r="O415" s="2">
        <v>43193.120000000003</v>
      </c>
      <c r="P415" s="2">
        <v>120.13</v>
      </c>
      <c r="Q415" s="2">
        <v>117.62</v>
      </c>
    </row>
    <row r="416" spans="1:17" x14ac:dyDescent="0.45">
      <c r="A416" s="1">
        <v>44682</v>
      </c>
      <c r="B416">
        <v>2022</v>
      </c>
      <c r="C416">
        <v>8</v>
      </c>
      <c r="D416" t="s">
        <v>23</v>
      </c>
      <c r="E416" s="2">
        <v>19665000</v>
      </c>
      <c r="F416" s="2">
        <v>1358140.69</v>
      </c>
      <c r="G416" s="2">
        <v>679483.29</v>
      </c>
      <c r="H416" s="2">
        <v>625913.16</v>
      </c>
      <c r="I416" s="2">
        <v>105087.32</v>
      </c>
      <c r="J416">
        <v>89</v>
      </c>
      <c r="K416">
        <v>6</v>
      </c>
      <c r="L416">
        <v>296</v>
      </c>
      <c r="M416">
        <v>7</v>
      </c>
      <c r="N416">
        <v>31</v>
      </c>
      <c r="O416" s="2">
        <v>260611.91</v>
      </c>
      <c r="P416" s="2">
        <v>109.19</v>
      </c>
      <c r="Q416" s="2">
        <v>104.87</v>
      </c>
    </row>
    <row r="417" spans="1:17" x14ac:dyDescent="0.45">
      <c r="A417" s="1">
        <v>45200</v>
      </c>
      <c r="B417">
        <v>2024</v>
      </c>
      <c r="C417">
        <v>1</v>
      </c>
      <c r="D417" t="s">
        <v>25</v>
      </c>
      <c r="E417" s="2">
        <v>4657000</v>
      </c>
      <c r="F417" s="2">
        <v>459648.64</v>
      </c>
      <c r="G417" s="2">
        <v>347083.21</v>
      </c>
      <c r="H417" s="2">
        <v>65208.11</v>
      </c>
      <c r="I417" s="2">
        <v>43960.27</v>
      </c>
      <c r="J417">
        <v>34</v>
      </c>
      <c r="K417">
        <v>4</v>
      </c>
      <c r="L417">
        <v>13</v>
      </c>
      <c r="M417">
        <v>0</v>
      </c>
      <c r="N417">
        <v>7</v>
      </c>
      <c r="O417" s="2">
        <v>5023.21</v>
      </c>
      <c r="P417" s="2">
        <v>104.78</v>
      </c>
      <c r="Q417" s="2">
        <v>110.55</v>
      </c>
    </row>
    <row r="418" spans="1:17" x14ac:dyDescent="0.45">
      <c r="A418" s="1">
        <v>45658</v>
      </c>
      <c r="B418">
        <v>2025</v>
      </c>
      <c r="C418">
        <v>4</v>
      </c>
      <c r="D418" t="s">
        <v>16</v>
      </c>
      <c r="E418" s="2">
        <v>7115000</v>
      </c>
      <c r="F418" s="2">
        <v>558412.89</v>
      </c>
      <c r="G418" s="2">
        <v>302784.67</v>
      </c>
      <c r="H418" s="2">
        <v>229178.63</v>
      </c>
      <c r="I418" s="2">
        <v>36382.69</v>
      </c>
      <c r="J418">
        <v>33</v>
      </c>
      <c r="K418">
        <v>1</v>
      </c>
      <c r="L418">
        <v>47</v>
      </c>
      <c r="M418">
        <v>4</v>
      </c>
      <c r="N418">
        <v>16</v>
      </c>
      <c r="O418" s="2">
        <v>59083.040000000001</v>
      </c>
      <c r="P418" s="2">
        <v>107.29</v>
      </c>
      <c r="Q418" s="2">
        <v>115.1</v>
      </c>
    </row>
    <row r="419" spans="1:17" x14ac:dyDescent="0.45">
      <c r="A419" s="1">
        <v>44501</v>
      </c>
      <c r="B419">
        <v>2022</v>
      </c>
      <c r="C419">
        <v>2</v>
      </c>
      <c r="D419" t="s">
        <v>18</v>
      </c>
      <c r="E419" s="2">
        <v>3622000</v>
      </c>
      <c r="F419" s="2">
        <v>321237.06</v>
      </c>
      <c r="G419" s="2">
        <v>269341.84999999998</v>
      </c>
      <c r="H419" s="2">
        <v>46876.33</v>
      </c>
      <c r="I419" s="2">
        <v>7102.37</v>
      </c>
      <c r="J419">
        <v>29</v>
      </c>
      <c r="K419">
        <v>1</v>
      </c>
      <c r="L419">
        <v>0</v>
      </c>
      <c r="M419">
        <v>2</v>
      </c>
      <c r="N419">
        <v>13</v>
      </c>
      <c r="O419" s="2">
        <v>20117.34</v>
      </c>
      <c r="P419" s="2">
        <v>110.23</v>
      </c>
      <c r="Q419" s="2">
        <v>103.22</v>
      </c>
    </row>
    <row r="420" spans="1:17" x14ac:dyDescent="0.45">
      <c r="A420" s="1">
        <v>45809</v>
      </c>
      <c r="B420">
        <v>2025</v>
      </c>
      <c r="C420">
        <v>9</v>
      </c>
      <c r="D420" t="s">
        <v>17</v>
      </c>
      <c r="E420" s="2">
        <v>8377000</v>
      </c>
      <c r="F420" s="2">
        <v>726291.87</v>
      </c>
      <c r="G420" s="2">
        <v>403402.1</v>
      </c>
      <c r="H420" s="2">
        <v>294053.71000000002</v>
      </c>
      <c r="I420" s="2">
        <v>21236.81</v>
      </c>
      <c r="J420">
        <v>47</v>
      </c>
      <c r="K420">
        <v>4</v>
      </c>
      <c r="L420">
        <v>78</v>
      </c>
      <c r="M420">
        <v>4</v>
      </c>
      <c r="N420">
        <v>15</v>
      </c>
      <c r="O420" s="2">
        <v>84878.27</v>
      </c>
      <c r="P420" s="2">
        <v>110.73</v>
      </c>
      <c r="Q420" s="2">
        <v>116.72</v>
      </c>
    </row>
    <row r="421" spans="1:17" x14ac:dyDescent="0.45">
      <c r="A421" s="1">
        <v>44621</v>
      </c>
      <c r="B421">
        <v>2022</v>
      </c>
      <c r="C421">
        <v>6</v>
      </c>
      <c r="D421" t="s">
        <v>23</v>
      </c>
      <c r="E421" s="2">
        <v>19665000</v>
      </c>
      <c r="F421" s="2">
        <v>2003584.36</v>
      </c>
      <c r="G421" s="2">
        <v>801523.94</v>
      </c>
      <c r="H421" s="2">
        <v>892785.35</v>
      </c>
      <c r="I421" s="2">
        <v>304406.90000000002</v>
      </c>
      <c r="J421">
        <v>99</v>
      </c>
      <c r="K421">
        <v>8</v>
      </c>
      <c r="L421">
        <v>349</v>
      </c>
      <c r="M421">
        <v>3</v>
      </c>
      <c r="N421">
        <v>27</v>
      </c>
      <c r="O421" s="2">
        <v>189039.7</v>
      </c>
      <c r="P421" s="2">
        <v>112.11</v>
      </c>
      <c r="Q421" s="2">
        <v>104.88</v>
      </c>
    </row>
    <row r="422" spans="1:17" x14ac:dyDescent="0.45">
      <c r="A422" s="1">
        <v>45748</v>
      </c>
      <c r="B422">
        <v>2025</v>
      </c>
      <c r="C422">
        <v>7</v>
      </c>
      <c r="D422" t="s">
        <v>25</v>
      </c>
      <c r="E422" s="2">
        <v>4820000</v>
      </c>
      <c r="F422" s="2">
        <v>391745.81</v>
      </c>
      <c r="G422" s="2">
        <v>316893.98</v>
      </c>
      <c r="H422" s="2">
        <v>66589.350000000006</v>
      </c>
      <c r="I422" s="2">
        <v>6353.38</v>
      </c>
      <c r="J422">
        <v>32</v>
      </c>
      <c r="K422">
        <v>0</v>
      </c>
      <c r="L422">
        <v>34</v>
      </c>
      <c r="M422">
        <v>3</v>
      </c>
      <c r="N422">
        <v>15</v>
      </c>
      <c r="O422" s="2">
        <v>47765.05</v>
      </c>
      <c r="P422" s="2">
        <v>111.2</v>
      </c>
      <c r="Q422" s="2">
        <v>117</v>
      </c>
    </row>
    <row r="423" spans="1:17" x14ac:dyDescent="0.45">
      <c r="A423" s="1">
        <v>45444</v>
      </c>
      <c r="B423">
        <v>2024</v>
      </c>
      <c r="C423">
        <v>9</v>
      </c>
      <c r="D423" t="s">
        <v>22</v>
      </c>
      <c r="E423" s="2">
        <v>6874000</v>
      </c>
      <c r="F423" s="2">
        <v>508623.75</v>
      </c>
      <c r="G423" s="2">
        <v>274434.63</v>
      </c>
      <c r="H423" s="2">
        <v>223343.38</v>
      </c>
      <c r="I423" s="2">
        <v>18130.64</v>
      </c>
      <c r="J423">
        <v>30</v>
      </c>
      <c r="K423">
        <v>2</v>
      </c>
      <c r="L423">
        <v>36</v>
      </c>
      <c r="M423">
        <v>3</v>
      </c>
      <c r="N423">
        <v>17</v>
      </c>
      <c r="O423" s="2">
        <v>39524.36</v>
      </c>
      <c r="P423" s="2">
        <v>101.95</v>
      </c>
      <c r="Q423" s="2">
        <v>112.02</v>
      </c>
    </row>
    <row r="424" spans="1:17" x14ac:dyDescent="0.45">
      <c r="A424" s="1">
        <v>45078</v>
      </c>
      <c r="B424">
        <v>2023</v>
      </c>
      <c r="C424">
        <v>9</v>
      </c>
      <c r="D424" t="s">
        <v>24</v>
      </c>
      <c r="E424" s="2">
        <v>14462000</v>
      </c>
      <c r="F424" s="2">
        <v>1177673.02</v>
      </c>
      <c r="G424" s="2">
        <v>561163.47</v>
      </c>
      <c r="H424" s="2">
        <v>526131.02</v>
      </c>
      <c r="I424" s="2">
        <v>62934.29</v>
      </c>
      <c r="J424">
        <v>80</v>
      </c>
      <c r="K424">
        <v>9</v>
      </c>
      <c r="L424">
        <v>91</v>
      </c>
      <c r="M424">
        <v>4</v>
      </c>
      <c r="N424">
        <v>19</v>
      </c>
      <c r="O424" s="2">
        <v>131794.65</v>
      </c>
      <c r="P424" s="2">
        <v>104.96</v>
      </c>
      <c r="Q424" s="2">
        <v>108.56</v>
      </c>
    </row>
    <row r="425" spans="1:17" x14ac:dyDescent="0.45">
      <c r="A425" s="1">
        <v>44805</v>
      </c>
      <c r="B425">
        <v>2022</v>
      </c>
      <c r="C425">
        <v>12</v>
      </c>
      <c r="D425" t="s">
        <v>17</v>
      </c>
      <c r="E425" s="2">
        <v>7555000</v>
      </c>
      <c r="F425" s="2">
        <v>620278.96</v>
      </c>
      <c r="G425" s="2">
        <v>329830.78999999998</v>
      </c>
      <c r="H425" s="2">
        <v>247588.46</v>
      </c>
      <c r="I425" s="2">
        <v>33188.67</v>
      </c>
      <c r="J425">
        <v>44</v>
      </c>
      <c r="K425">
        <v>6</v>
      </c>
      <c r="L425">
        <v>63</v>
      </c>
      <c r="M425">
        <v>0</v>
      </c>
      <c r="N425">
        <v>15</v>
      </c>
      <c r="O425" s="2">
        <v>21400.48</v>
      </c>
      <c r="P425" s="2">
        <v>109.89</v>
      </c>
      <c r="Q425" s="2">
        <v>106.15</v>
      </c>
    </row>
    <row r="426" spans="1:17" x14ac:dyDescent="0.45">
      <c r="A426" s="1">
        <v>45108</v>
      </c>
      <c r="B426">
        <v>2023</v>
      </c>
      <c r="C426">
        <v>10</v>
      </c>
      <c r="D426" t="s">
        <v>19</v>
      </c>
      <c r="E426" s="2">
        <v>5142000</v>
      </c>
      <c r="F426" s="2">
        <v>420775.65</v>
      </c>
      <c r="G426" s="2">
        <v>352023.56</v>
      </c>
      <c r="H426" s="2">
        <v>62010.93</v>
      </c>
      <c r="I426" s="2">
        <v>5935.46</v>
      </c>
      <c r="J426">
        <v>35</v>
      </c>
      <c r="K426">
        <v>4</v>
      </c>
      <c r="L426">
        <v>36</v>
      </c>
      <c r="M426">
        <v>3</v>
      </c>
      <c r="N426">
        <v>14</v>
      </c>
      <c r="O426" s="2">
        <v>35493.410000000003</v>
      </c>
      <c r="P426" s="2">
        <v>101.04</v>
      </c>
      <c r="Q426" s="2">
        <v>108.8</v>
      </c>
    </row>
    <row r="427" spans="1:17" x14ac:dyDescent="0.45">
      <c r="A427" s="1">
        <v>44562</v>
      </c>
      <c r="B427">
        <v>2022</v>
      </c>
      <c r="C427">
        <v>4</v>
      </c>
      <c r="D427" t="s">
        <v>23</v>
      </c>
      <c r="E427" s="2">
        <v>19665000</v>
      </c>
      <c r="F427" s="2">
        <v>1593146.56</v>
      </c>
      <c r="G427" s="2">
        <v>760858.89</v>
      </c>
      <c r="H427" s="2">
        <v>724609.16</v>
      </c>
      <c r="I427" s="2">
        <v>133649.41</v>
      </c>
      <c r="J427">
        <v>97</v>
      </c>
      <c r="K427">
        <v>1</v>
      </c>
      <c r="L427">
        <v>315</v>
      </c>
      <c r="M427">
        <v>7</v>
      </c>
      <c r="N427">
        <v>32</v>
      </c>
      <c r="O427" s="2">
        <v>307097.5</v>
      </c>
      <c r="P427" s="2">
        <v>113.6</v>
      </c>
      <c r="Q427" s="2">
        <v>103.66</v>
      </c>
    </row>
    <row r="428" spans="1:17" x14ac:dyDescent="0.45">
      <c r="A428" s="1">
        <v>44986</v>
      </c>
      <c r="B428">
        <v>2023</v>
      </c>
      <c r="C428">
        <v>6</v>
      </c>
      <c r="D428" t="s">
        <v>24</v>
      </c>
      <c r="E428" s="2">
        <v>14462000</v>
      </c>
      <c r="F428" s="2">
        <v>1345811.77</v>
      </c>
      <c r="G428" s="2">
        <v>589790.84</v>
      </c>
      <c r="H428" s="2">
        <v>433571.48</v>
      </c>
      <c r="I428" s="2">
        <v>319599.12</v>
      </c>
      <c r="J428">
        <v>80</v>
      </c>
      <c r="K428">
        <v>8</v>
      </c>
      <c r="L428">
        <v>80</v>
      </c>
      <c r="M428">
        <v>4</v>
      </c>
      <c r="N428">
        <v>19</v>
      </c>
      <c r="O428" s="2">
        <v>137649.60000000001</v>
      </c>
      <c r="P428" s="2">
        <v>109.54</v>
      </c>
      <c r="Q428" s="2">
        <v>107.42</v>
      </c>
    </row>
    <row r="429" spans="1:17" x14ac:dyDescent="0.45">
      <c r="A429" s="1">
        <v>45992</v>
      </c>
      <c r="B429">
        <v>2026</v>
      </c>
      <c r="C429">
        <v>3</v>
      </c>
      <c r="D429" t="s">
        <v>28</v>
      </c>
      <c r="E429" s="2">
        <v>26129000</v>
      </c>
      <c r="F429" s="2">
        <v>2559330.75</v>
      </c>
      <c r="G429" s="2">
        <v>1895803.82</v>
      </c>
      <c r="H429" s="2">
        <v>584022.5</v>
      </c>
      <c r="I429" s="2">
        <v>26160.78</v>
      </c>
      <c r="J429">
        <v>187</v>
      </c>
      <c r="K429">
        <v>12</v>
      </c>
      <c r="L429">
        <v>848</v>
      </c>
      <c r="M429">
        <v>6</v>
      </c>
      <c r="N429">
        <v>25</v>
      </c>
      <c r="O429" s="2"/>
      <c r="P429" s="2">
        <v>122.31</v>
      </c>
      <c r="Q429" s="2">
        <v>118.49</v>
      </c>
    </row>
    <row r="430" spans="1:17" x14ac:dyDescent="0.45">
      <c r="A430" s="1">
        <v>44866</v>
      </c>
      <c r="B430">
        <v>2023</v>
      </c>
      <c r="C430">
        <v>2</v>
      </c>
      <c r="D430" t="s">
        <v>23</v>
      </c>
      <c r="E430" s="2">
        <v>20353000</v>
      </c>
      <c r="F430" s="2">
        <v>1743932.19</v>
      </c>
      <c r="G430" s="2">
        <v>787502.02</v>
      </c>
      <c r="H430" s="2">
        <v>860396.53</v>
      </c>
      <c r="I430" s="2">
        <v>106439.13</v>
      </c>
      <c r="J430">
        <v>95</v>
      </c>
      <c r="K430">
        <v>12</v>
      </c>
      <c r="L430">
        <v>494</v>
      </c>
      <c r="M430">
        <v>6</v>
      </c>
      <c r="N430">
        <v>22</v>
      </c>
      <c r="O430" s="2">
        <v>313521.57</v>
      </c>
      <c r="P430" s="2">
        <v>107.79</v>
      </c>
      <c r="Q430" s="2">
        <v>106.67</v>
      </c>
    </row>
    <row r="431" spans="1:17" x14ac:dyDescent="0.45">
      <c r="A431" s="1">
        <v>45901</v>
      </c>
      <c r="B431">
        <v>2025</v>
      </c>
      <c r="C431">
        <v>12</v>
      </c>
      <c r="D431" t="s">
        <v>28</v>
      </c>
      <c r="E431" s="2">
        <v>25246000</v>
      </c>
      <c r="F431" s="2">
        <v>2271174.65</v>
      </c>
      <c r="G431" s="2">
        <v>1788446.52</v>
      </c>
      <c r="H431" s="2">
        <v>450017.06</v>
      </c>
      <c r="I431" s="2">
        <v>51609.78</v>
      </c>
      <c r="J431">
        <v>183</v>
      </c>
      <c r="K431">
        <v>13</v>
      </c>
      <c r="L431">
        <v>759</v>
      </c>
      <c r="M431">
        <v>6</v>
      </c>
      <c r="N431">
        <v>27</v>
      </c>
      <c r="O431" s="2">
        <v>366885.95</v>
      </c>
      <c r="P431" s="2">
        <v>118.59</v>
      </c>
      <c r="Q431" s="2">
        <v>117.6</v>
      </c>
    </row>
    <row r="432" spans="1:17" x14ac:dyDescent="0.45">
      <c r="A432" s="1">
        <v>45323</v>
      </c>
      <c r="B432">
        <v>2024</v>
      </c>
      <c r="C432">
        <v>5</v>
      </c>
      <c r="D432" t="s">
        <v>17</v>
      </c>
      <c r="E432" s="2">
        <v>8094000</v>
      </c>
      <c r="F432" s="2">
        <v>658016.56999999995</v>
      </c>
      <c r="G432" s="2">
        <v>363197.65</v>
      </c>
      <c r="H432" s="2">
        <v>262214.51</v>
      </c>
      <c r="I432" s="2">
        <v>27085.97</v>
      </c>
      <c r="J432">
        <v>46</v>
      </c>
      <c r="K432">
        <v>1</v>
      </c>
      <c r="L432">
        <v>20</v>
      </c>
      <c r="M432">
        <v>2</v>
      </c>
      <c r="N432">
        <v>18</v>
      </c>
      <c r="O432" s="2">
        <v>44166.45</v>
      </c>
      <c r="P432" s="2">
        <v>100.14</v>
      </c>
      <c r="Q432" s="2">
        <v>111.75</v>
      </c>
    </row>
    <row r="433" spans="1:17" x14ac:dyDescent="0.45">
      <c r="A433" s="1">
        <v>45231</v>
      </c>
      <c r="B433">
        <v>2024</v>
      </c>
      <c r="C433">
        <v>2</v>
      </c>
      <c r="D433" t="s">
        <v>19</v>
      </c>
      <c r="E433" s="2">
        <v>5322000</v>
      </c>
      <c r="F433" s="2">
        <v>445730.72</v>
      </c>
      <c r="G433" s="2">
        <v>367551.56</v>
      </c>
      <c r="H433" s="2">
        <v>73191.759999999995</v>
      </c>
      <c r="I433" s="2">
        <v>6084.01</v>
      </c>
      <c r="J433">
        <v>36</v>
      </c>
      <c r="K433">
        <v>0</v>
      </c>
      <c r="L433">
        <v>41</v>
      </c>
      <c r="M433">
        <v>2</v>
      </c>
      <c r="N433">
        <v>9</v>
      </c>
      <c r="O433" s="2">
        <v>18855.52</v>
      </c>
      <c r="P433" s="2">
        <v>98.81</v>
      </c>
      <c r="Q433" s="2">
        <v>109.68</v>
      </c>
    </row>
    <row r="434" spans="1:17" x14ac:dyDescent="0.45">
      <c r="A434" s="1">
        <v>44621</v>
      </c>
      <c r="B434">
        <v>2022</v>
      </c>
      <c r="C434">
        <v>6</v>
      </c>
      <c r="D434" t="s">
        <v>22</v>
      </c>
      <c r="E434" s="2">
        <v>6417000</v>
      </c>
      <c r="F434" s="2">
        <v>453059.88</v>
      </c>
      <c r="G434" s="2">
        <v>260032.74</v>
      </c>
      <c r="H434" s="2">
        <v>198853.24</v>
      </c>
      <c r="I434" s="2">
        <v>11382.55</v>
      </c>
      <c r="J434">
        <v>30</v>
      </c>
      <c r="K434">
        <v>4</v>
      </c>
      <c r="L434">
        <v>32</v>
      </c>
      <c r="M434">
        <v>3</v>
      </c>
      <c r="N434">
        <v>13</v>
      </c>
      <c r="O434" s="2">
        <v>42306.66</v>
      </c>
      <c r="P434" s="2">
        <v>109.9</v>
      </c>
      <c r="Q434" s="2">
        <v>104.35</v>
      </c>
    </row>
    <row r="435" spans="1:17" x14ac:dyDescent="0.45">
      <c r="A435" s="1">
        <v>45627</v>
      </c>
      <c r="B435">
        <v>2025</v>
      </c>
      <c r="C435">
        <v>3</v>
      </c>
      <c r="D435" t="s">
        <v>28</v>
      </c>
      <c r="E435" s="2">
        <v>25246000</v>
      </c>
      <c r="F435" s="2">
        <v>2523359.29</v>
      </c>
      <c r="G435" s="2">
        <v>1803368.58</v>
      </c>
      <c r="H435" s="2">
        <v>539676.98</v>
      </c>
      <c r="I435" s="2">
        <v>26807.26</v>
      </c>
      <c r="J435">
        <v>181</v>
      </c>
      <c r="K435">
        <v>13</v>
      </c>
      <c r="L435">
        <v>907</v>
      </c>
      <c r="M435">
        <v>6</v>
      </c>
      <c r="N435">
        <v>32</v>
      </c>
      <c r="O435" s="2">
        <v>481243.94</v>
      </c>
      <c r="P435" s="2">
        <v>110.1</v>
      </c>
      <c r="Q435" s="2">
        <v>114.16</v>
      </c>
    </row>
    <row r="436" spans="1:17" x14ac:dyDescent="0.45">
      <c r="A436" s="1">
        <v>44593</v>
      </c>
      <c r="B436">
        <v>2022</v>
      </c>
      <c r="C436">
        <v>5</v>
      </c>
      <c r="D436" t="s">
        <v>25</v>
      </c>
      <c r="E436" s="2">
        <v>4347000</v>
      </c>
      <c r="F436" s="2">
        <v>362568.78</v>
      </c>
      <c r="G436" s="2">
        <v>298966.14</v>
      </c>
      <c r="H436" s="2">
        <v>55730.15</v>
      </c>
      <c r="I436" s="2">
        <v>2626.72</v>
      </c>
      <c r="J436">
        <v>33</v>
      </c>
      <c r="K436">
        <v>2</v>
      </c>
      <c r="L436">
        <v>37</v>
      </c>
      <c r="M436">
        <v>0</v>
      </c>
      <c r="N436">
        <v>10</v>
      </c>
      <c r="O436" s="2">
        <v>5928.62</v>
      </c>
      <c r="P436" s="2">
        <v>109.82</v>
      </c>
      <c r="Q436" s="2">
        <v>103.52</v>
      </c>
    </row>
    <row r="437" spans="1:17" x14ac:dyDescent="0.45">
      <c r="A437" s="1">
        <v>44774</v>
      </c>
      <c r="B437">
        <v>2022</v>
      </c>
      <c r="C437">
        <v>11</v>
      </c>
      <c r="D437" t="s">
        <v>17</v>
      </c>
      <c r="E437" s="2">
        <v>7555000</v>
      </c>
      <c r="F437" s="2">
        <v>578663.9</v>
      </c>
      <c r="G437" s="2">
        <v>329880.71999999997</v>
      </c>
      <c r="H437" s="2">
        <v>233736.94</v>
      </c>
      <c r="I437" s="2">
        <v>18751.73</v>
      </c>
      <c r="J437">
        <v>44</v>
      </c>
      <c r="K437">
        <v>1</v>
      </c>
      <c r="L437">
        <v>40</v>
      </c>
      <c r="M437">
        <v>3</v>
      </c>
      <c r="N437">
        <v>14</v>
      </c>
      <c r="O437" s="2">
        <v>72530.31</v>
      </c>
      <c r="P437" s="2">
        <v>108.85</v>
      </c>
      <c r="Q437" s="2">
        <v>106.01</v>
      </c>
    </row>
    <row r="438" spans="1:17" x14ac:dyDescent="0.45">
      <c r="A438" s="1">
        <v>45778</v>
      </c>
      <c r="B438">
        <v>2025</v>
      </c>
      <c r="C438">
        <v>8</v>
      </c>
      <c r="D438" t="s">
        <v>27</v>
      </c>
      <c r="E438" s="2">
        <v>28688000</v>
      </c>
      <c r="F438" s="2">
        <v>2572227.13</v>
      </c>
      <c r="G438" s="2">
        <v>1891654.44</v>
      </c>
      <c r="H438" s="2">
        <v>568602.71</v>
      </c>
      <c r="I438" s="2">
        <v>94394.05</v>
      </c>
      <c r="J438">
        <v>211</v>
      </c>
      <c r="K438">
        <v>15</v>
      </c>
      <c r="L438">
        <v>1009</v>
      </c>
      <c r="M438">
        <v>8</v>
      </c>
      <c r="N438">
        <v>42</v>
      </c>
      <c r="O438" s="2">
        <v>536475.9</v>
      </c>
      <c r="P438" s="2">
        <v>115.41</v>
      </c>
      <c r="Q438" s="2">
        <v>116.38</v>
      </c>
    </row>
    <row r="439" spans="1:17" x14ac:dyDescent="0.45">
      <c r="A439" s="1">
        <v>44866</v>
      </c>
      <c r="B439">
        <v>2023</v>
      </c>
      <c r="C439">
        <v>2</v>
      </c>
      <c r="D439" t="s">
        <v>27</v>
      </c>
      <c r="E439" s="2">
        <v>26781000</v>
      </c>
      <c r="F439" s="2">
        <v>2340611.9700000002</v>
      </c>
      <c r="G439" s="2">
        <v>1663540.84</v>
      </c>
      <c r="H439" s="2">
        <v>604283.17000000004</v>
      </c>
      <c r="I439" s="2">
        <v>87062.63</v>
      </c>
      <c r="J439">
        <v>207</v>
      </c>
      <c r="K439">
        <v>16</v>
      </c>
      <c r="L439">
        <v>740</v>
      </c>
      <c r="M439">
        <v>8</v>
      </c>
      <c r="N439">
        <v>33</v>
      </c>
      <c r="O439" s="2">
        <v>559269.04</v>
      </c>
      <c r="P439" s="2">
        <v>106.92</v>
      </c>
      <c r="Q439" s="2">
        <v>106.76</v>
      </c>
    </row>
    <row r="440" spans="1:17" x14ac:dyDescent="0.45">
      <c r="A440" s="1">
        <v>45047</v>
      </c>
      <c r="B440">
        <v>2023</v>
      </c>
      <c r="C440">
        <v>8</v>
      </c>
      <c r="D440" t="s">
        <v>17</v>
      </c>
      <c r="E440" s="2">
        <v>7820000</v>
      </c>
      <c r="F440" s="2">
        <v>648169.86</v>
      </c>
      <c r="G440" s="2">
        <v>326237.15000000002</v>
      </c>
      <c r="H440" s="2">
        <v>282274.93</v>
      </c>
      <c r="I440" s="2">
        <v>23563.58</v>
      </c>
      <c r="J440">
        <v>44</v>
      </c>
      <c r="K440">
        <v>1</v>
      </c>
      <c r="L440">
        <v>49</v>
      </c>
      <c r="M440">
        <v>1</v>
      </c>
      <c r="N440">
        <v>14</v>
      </c>
      <c r="O440" s="2">
        <v>31685.3</v>
      </c>
      <c r="P440" s="2">
        <v>105.27</v>
      </c>
      <c r="Q440" s="2">
        <v>108.06</v>
      </c>
    </row>
    <row r="441" spans="1:17" x14ac:dyDescent="0.45">
      <c r="A441" s="1">
        <v>44470</v>
      </c>
      <c r="B441">
        <v>2022</v>
      </c>
      <c r="C441">
        <v>1</v>
      </c>
      <c r="D441" t="s">
        <v>17</v>
      </c>
      <c r="E441" s="2">
        <v>7555000</v>
      </c>
      <c r="F441" s="2">
        <v>585067.52000000002</v>
      </c>
      <c r="G441" s="2">
        <v>329371.01</v>
      </c>
      <c r="H441" s="2">
        <v>222089.04</v>
      </c>
      <c r="I441" s="2">
        <v>34549.800000000003</v>
      </c>
      <c r="J441">
        <v>42</v>
      </c>
      <c r="K441">
        <v>3</v>
      </c>
      <c r="L441">
        <v>81</v>
      </c>
      <c r="M441">
        <v>2</v>
      </c>
      <c r="N441">
        <v>13</v>
      </c>
      <c r="O441" s="2">
        <v>50863.25</v>
      </c>
      <c r="P441" s="2">
        <v>110.43</v>
      </c>
      <c r="Q441" s="2">
        <v>102.05</v>
      </c>
    </row>
    <row r="442" spans="1:17" x14ac:dyDescent="0.45">
      <c r="A442" s="1">
        <v>45717</v>
      </c>
      <c r="B442">
        <v>2025</v>
      </c>
      <c r="C442">
        <v>6</v>
      </c>
      <c r="D442" t="s">
        <v>24</v>
      </c>
      <c r="E442" s="2">
        <v>15492000</v>
      </c>
      <c r="F442" s="2">
        <v>1288343.6499999999</v>
      </c>
      <c r="G442" s="2">
        <v>632718.23</v>
      </c>
      <c r="H442" s="2">
        <v>548498.13</v>
      </c>
      <c r="I442" s="2">
        <v>52212.28</v>
      </c>
      <c r="J442">
        <v>81</v>
      </c>
      <c r="K442">
        <v>8</v>
      </c>
      <c r="L442">
        <v>171</v>
      </c>
      <c r="M442">
        <v>2</v>
      </c>
      <c r="N442">
        <v>18</v>
      </c>
      <c r="O442" s="2">
        <v>125028.94</v>
      </c>
      <c r="P442" s="2">
        <v>110.58</v>
      </c>
      <c r="Q442" s="2">
        <v>115.9</v>
      </c>
    </row>
    <row r="443" spans="1:17" x14ac:dyDescent="0.45">
      <c r="A443" s="1">
        <v>45017</v>
      </c>
      <c r="B443">
        <v>2023</v>
      </c>
      <c r="C443">
        <v>7</v>
      </c>
      <c r="D443" t="s">
        <v>23</v>
      </c>
      <c r="E443" s="2">
        <v>20353000</v>
      </c>
      <c r="F443" s="2">
        <v>1503141.07</v>
      </c>
      <c r="G443" s="2">
        <v>784449.45</v>
      </c>
      <c r="H443" s="2">
        <v>607014.37</v>
      </c>
      <c r="I443" s="2">
        <v>70243.44</v>
      </c>
      <c r="J443">
        <v>100</v>
      </c>
      <c r="K443">
        <v>6</v>
      </c>
      <c r="L443">
        <v>371</v>
      </c>
      <c r="M443">
        <v>5</v>
      </c>
      <c r="N443">
        <v>28</v>
      </c>
      <c r="O443" s="2">
        <v>241230.14</v>
      </c>
      <c r="P443" s="2">
        <v>105.78</v>
      </c>
      <c r="Q443" s="2">
        <v>108.44</v>
      </c>
    </row>
    <row r="444" spans="1:17" x14ac:dyDescent="0.45">
      <c r="A444" s="1">
        <v>45078</v>
      </c>
      <c r="B444">
        <v>2023</v>
      </c>
      <c r="C444">
        <v>9</v>
      </c>
      <c r="D444" t="s">
        <v>27</v>
      </c>
      <c r="E444" s="2">
        <v>26781000</v>
      </c>
      <c r="F444" s="2">
        <v>2609503.7599999998</v>
      </c>
      <c r="G444" s="2">
        <v>1797268.35</v>
      </c>
      <c r="H444" s="2">
        <v>450297.11</v>
      </c>
      <c r="I444" s="2">
        <v>225378.62</v>
      </c>
      <c r="J444">
        <v>202</v>
      </c>
      <c r="K444">
        <v>15</v>
      </c>
      <c r="L444">
        <v>911</v>
      </c>
      <c r="M444">
        <v>9</v>
      </c>
      <c r="N444">
        <v>32</v>
      </c>
      <c r="O444" s="2">
        <v>674429.93</v>
      </c>
      <c r="P444" s="2">
        <v>102.24</v>
      </c>
      <c r="Q444" s="2">
        <v>109.39</v>
      </c>
    </row>
    <row r="445" spans="1:17" x14ac:dyDescent="0.45">
      <c r="A445" s="1">
        <v>44562</v>
      </c>
      <c r="B445">
        <v>2022</v>
      </c>
      <c r="C445">
        <v>4</v>
      </c>
      <c r="D445" t="s">
        <v>22</v>
      </c>
      <c r="E445" s="2">
        <v>6417000</v>
      </c>
      <c r="F445" s="2">
        <v>476628.03</v>
      </c>
      <c r="G445" s="2">
        <v>250788.64</v>
      </c>
      <c r="H445" s="2">
        <v>211442.48</v>
      </c>
      <c r="I445" s="2">
        <v>27457.5</v>
      </c>
      <c r="J445">
        <v>30</v>
      </c>
      <c r="K445">
        <v>2</v>
      </c>
      <c r="L445">
        <v>29</v>
      </c>
      <c r="M445">
        <v>3</v>
      </c>
      <c r="N445">
        <v>14</v>
      </c>
      <c r="O445" s="2">
        <v>41413.25</v>
      </c>
      <c r="P445" s="2">
        <v>111.34</v>
      </c>
      <c r="Q445" s="2">
        <v>104.09</v>
      </c>
    </row>
    <row r="446" spans="1:17" x14ac:dyDescent="0.45">
      <c r="A446" s="1">
        <v>44317</v>
      </c>
      <c r="B446">
        <v>2021</v>
      </c>
      <c r="C446">
        <v>8</v>
      </c>
      <c r="D446" t="s">
        <v>27</v>
      </c>
      <c r="E446" s="2">
        <v>25000000</v>
      </c>
      <c r="F446" s="2">
        <v>2301122.39</v>
      </c>
      <c r="G446" s="2">
        <v>1694136.5</v>
      </c>
      <c r="H446" s="2">
        <v>516118.06</v>
      </c>
      <c r="I446" s="2">
        <v>41011.5</v>
      </c>
      <c r="J446">
        <v>213</v>
      </c>
      <c r="L446">
        <v>872</v>
      </c>
      <c r="M446">
        <v>8</v>
      </c>
      <c r="N446">
        <v>35</v>
      </c>
      <c r="O446" s="2">
        <v>578609.87</v>
      </c>
      <c r="P446" s="2">
        <v>104.83</v>
      </c>
      <c r="Q446" s="2">
        <v>101.26</v>
      </c>
    </row>
    <row r="447" spans="1:17" x14ac:dyDescent="0.45">
      <c r="A447" s="1">
        <v>45658</v>
      </c>
      <c r="B447">
        <v>2025</v>
      </c>
      <c r="C447">
        <v>4</v>
      </c>
      <c r="D447" t="s">
        <v>21</v>
      </c>
      <c r="E447" s="2">
        <v>9180000</v>
      </c>
      <c r="F447" s="2">
        <v>747037.07</v>
      </c>
      <c r="G447" s="2">
        <v>482198.66</v>
      </c>
      <c r="H447" s="2">
        <v>231874.86</v>
      </c>
      <c r="I447" s="2">
        <v>14870.59</v>
      </c>
      <c r="J447">
        <v>64</v>
      </c>
      <c r="K447">
        <v>7</v>
      </c>
      <c r="L447">
        <v>38</v>
      </c>
      <c r="M447">
        <v>3</v>
      </c>
      <c r="N447">
        <v>16</v>
      </c>
      <c r="O447" s="2">
        <v>76816.13</v>
      </c>
      <c r="P447" s="2">
        <v>113.39</v>
      </c>
      <c r="Q447" s="2">
        <v>115.91</v>
      </c>
    </row>
    <row r="448" spans="1:17" x14ac:dyDescent="0.45">
      <c r="A448" s="1">
        <v>45870</v>
      </c>
      <c r="B448">
        <v>2025</v>
      </c>
      <c r="C448">
        <v>11</v>
      </c>
      <c r="D448" t="s">
        <v>21</v>
      </c>
      <c r="E448" s="2">
        <v>9180000</v>
      </c>
      <c r="F448" s="2">
        <v>763250.8</v>
      </c>
      <c r="G448" s="2">
        <v>477326.96</v>
      </c>
      <c r="H448" s="2">
        <v>227976.25</v>
      </c>
      <c r="I448" s="2">
        <v>29801.08</v>
      </c>
      <c r="J448">
        <v>64</v>
      </c>
      <c r="K448">
        <v>3</v>
      </c>
      <c r="L448">
        <v>63</v>
      </c>
      <c r="M448">
        <v>2</v>
      </c>
      <c r="N448">
        <v>15</v>
      </c>
      <c r="O448" s="2">
        <v>42180.6</v>
      </c>
      <c r="P448" s="2">
        <v>116.64</v>
      </c>
      <c r="Q448" s="2">
        <v>116.41</v>
      </c>
    </row>
    <row r="449" spans="1:17" x14ac:dyDescent="0.45">
      <c r="A449" s="1">
        <v>45231</v>
      </c>
      <c r="B449">
        <v>2024</v>
      </c>
      <c r="C449">
        <v>2</v>
      </c>
      <c r="D449" t="s">
        <v>21</v>
      </c>
      <c r="E449" s="2">
        <v>8870000</v>
      </c>
      <c r="F449" s="2">
        <v>770574.09</v>
      </c>
      <c r="G449" s="2">
        <v>472039.38</v>
      </c>
      <c r="H449" s="2">
        <v>272539.59999999998</v>
      </c>
      <c r="I449" s="2">
        <v>35367.22</v>
      </c>
      <c r="J449">
        <v>63</v>
      </c>
      <c r="K449">
        <v>3</v>
      </c>
      <c r="L449">
        <v>129</v>
      </c>
      <c r="M449">
        <v>3</v>
      </c>
      <c r="N449">
        <v>21</v>
      </c>
      <c r="O449" s="2">
        <v>78352.740000000005</v>
      </c>
      <c r="P449" s="2">
        <v>100.39</v>
      </c>
      <c r="Q449" s="2">
        <v>109.87</v>
      </c>
    </row>
    <row r="450" spans="1:17" x14ac:dyDescent="0.45">
      <c r="A450" s="1">
        <v>44378</v>
      </c>
      <c r="B450">
        <v>2021</v>
      </c>
      <c r="C450">
        <v>10</v>
      </c>
      <c r="D450" t="s">
        <v>24</v>
      </c>
      <c r="E450" s="2">
        <v>13500000</v>
      </c>
      <c r="F450" s="2">
        <v>1030558.87</v>
      </c>
      <c r="G450" s="2">
        <v>502489.44</v>
      </c>
      <c r="H450" s="2">
        <v>465295.59</v>
      </c>
      <c r="I450" s="2">
        <v>70195.990000000005</v>
      </c>
      <c r="J450">
        <v>74</v>
      </c>
      <c r="K450">
        <v>7</v>
      </c>
      <c r="L450">
        <v>23</v>
      </c>
      <c r="M450">
        <v>3</v>
      </c>
      <c r="N450">
        <v>15</v>
      </c>
      <c r="O450" s="2">
        <v>87846.74</v>
      </c>
      <c r="P450" s="2">
        <v>104.6</v>
      </c>
      <c r="Q450" s="2">
        <v>102.1</v>
      </c>
    </row>
    <row r="451" spans="1:17" x14ac:dyDescent="0.45">
      <c r="A451" s="1">
        <v>44228</v>
      </c>
      <c r="B451">
        <v>2021</v>
      </c>
      <c r="C451">
        <v>5</v>
      </c>
      <c r="D451" t="s">
        <v>25</v>
      </c>
      <c r="E451" s="2">
        <v>4200000</v>
      </c>
      <c r="F451" s="2">
        <v>347351.27</v>
      </c>
      <c r="G451" s="2">
        <v>279763.84999999998</v>
      </c>
      <c r="H451" s="2">
        <v>54033.279999999999</v>
      </c>
      <c r="I451" s="2">
        <v>7735.2</v>
      </c>
      <c r="J451">
        <v>32</v>
      </c>
      <c r="K451">
        <v>5</v>
      </c>
      <c r="L451">
        <v>3</v>
      </c>
      <c r="M451">
        <v>2</v>
      </c>
      <c r="N451">
        <v>13</v>
      </c>
      <c r="O451" s="2">
        <v>18044.48</v>
      </c>
      <c r="P451" s="2">
        <v>104.4</v>
      </c>
      <c r="Q451" s="2">
        <v>100.6</v>
      </c>
    </row>
    <row r="452" spans="1:17" x14ac:dyDescent="0.45">
      <c r="A452" s="1">
        <v>45597</v>
      </c>
      <c r="B452">
        <v>2025</v>
      </c>
      <c r="C452">
        <v>2</v>
      </c>
      <c r="D452" t="s">
        <v>19</v>
      </c>
      <c r="E452" s="2">
        <v>5508000</v>
      </c>
      <c r="F452" s="2">
        <v>492442.61</v>
      </c>
      <c r="G452" s="2">
        <v>403742.86</v>
      </c>
      <c r="H452" s="2">
        <v>73089.61</v>
      </c>
      <c r="I452" s="2">
        <v>11391.54</v>
      </c>
      <c r="J452">
        <v>38</v>
      </c>
      <c r="K452">
        <v>5</v>
      </c>
      <c r="L452">
        <v>68</v>
      </c>
      <c r="M452">
        <v>0</v>
      </c>
      <c r="N452">
        <v>10</v>
      </c>
      <c r="O452" s="2">
        <v>7666.66</v>
      </c>
      <c r="P452" s="2">
        <v>106.2</v>
      </c>
      <c r="Q452" s="2">
        <v>115.56</v>
      </c>
    </row>
    <row r="453" spans="1:17" x14ac:dyDescent="0.45">
      <c r="A453" s="1">
        <v>45689</v>
      </c>
      <c r="B453">
        <v>2025</v>
      </c>
      <c r="C453">
        <v>5</v>
      </c>
      <c r="D453" t="s">
        <v>25</v>
      </c>
      <c r="E453" s="2">
        <v>4820000</v>
      </c>
      <c r="F453" s="2">
        <v>407328.43</v>
      </c>
      <c r="G453" s="2">
        <v>342486.85</v>
      </c>
      <c r="H453" s="2">
        <v>57716.959999999999</v>
      </c>
      <c r="I453" s="2">
        <v>9109.14</v>
      </c>
      <c r="J453">
        <v>33</v>
      </c>
      <c r="K453">
        <v>0</v>
      </c>
      <c r="L453">
        <v>52</v>
      </c>
      <c r="M453">
        <v>2</v>
      </c>
      <c r="N453">
        <v>13</v>
      </c>
      <c r="O453" s="2">
        <v>33657.42</v>
      </c>
      <c r="P453" s="2">
        <v>109.8</v>
      </c>
      <c r="Q453" s="2">
        <v>114.97</v>
      </c>
    </row>
    <row r="454" spans="1:17" x14ac:dyDescent="0.45">
      <c r="A454" s="1">
        <v>45078</v>
      </c>
      <c r="B454">
        <v>2023</v>
      </c>
      <c r="C454">
        <v>9</v>
      </c>
      <c r="D454" t="s">
        <v>22</v>
      </c>
      <c r="E454" s="2">
        <v>6642000</v>
      </c>
      <c r="F454" s="2">
        <v>537032.66</v>
      </c>
      <c r="G454" s="2">
        <v>272710.49</v>
      </c>
      <c r="H454" s="2">
        <v>247933.63</v>
      </c>
      <c r="I454" s="2">
        <v>11745.27</v>
      </c>
      <c r="J454">
        <v>31</v>
      </c>
      <c r="K454">
        <v>3</v>
      </c>
      <c r="L454">
        <v>0</v>
      </c>
      <c r="M454">
        <v>6</v>
      </c>
      <c r="N454">
        <v>20</v>
      </c>
      <c r="O454" s="2">
        <v>82538.52</v>
      </c>
      <c r="P454" s="2">
        <v>104.68</v>
      </c>
      <c r="Q454" s="2">
        <v>109.67</v>
      </c>
    </row>
    <row r="455" spans="1:17" x14ac:dyDescent="0.45">
      <c r="A455" s="1">
        <v>44409</v>
      </c>
      <c r="B455">
        <v>2021</v>
      </c>
      <c r="C455">
        <v>11</v>
      </c>
      <c r="D455" t="s">
        <v>24</v>
      </c>
      <c r="E455" s="2">
        <v>13500000</v>
      </c>
      <c r="F455" s="2">
        <v>1379173.78</v>
      </c>
      <c r="G455" s="2">
        <v>577092.68999999994</v>
      </c>
      <c r="H455" s="2">
        <v>462774.35</v>
      </c>
      <c r="I455" s="2">
        <v>389409.95</v>
      </c>
      <c r="J455">
        <v>80</v>
      </c>
      <c r="K455">
        <v>8</v>
      </c>
      <c r="L455">
        <v>115</v>
      </c>
      <c r="M455">
        <v>2</v>
      </c>
      <c r="N455">
        <v>15</v>
      </c>
      <c r="O455" s="2">
        <v>77353.320000000007</v>
      </c>
      <c r="P455" s="2">
        <v>107.09</v>
      </c>
      <c r="Q455" s="2">
        <v>101.78</v>
      </c>
    </row>
    <row r="456" spans="1:17" x14ac:dyDescent="0.45">
      <c r="A456" s="1">
        <v>45231</v>
      </c>
      <c r="B456">
        <v>2024</v>
      </c>
      <c r="C456">
        <v>2</v>
      </c>
      <c r="D456" t="s">
        <v>23</v>
      </c>
      <c r="E456" s="2">
        <v>21066000</v>
      </c>
      <c r="F456" s="2">
        <v>1678435.67</v>
      </c>
      <c r="G456" s="2">
        <v>783902.14</v>
      </c>
      <c r="H456" s="2">
        <v>755834.88</v>
      </c>
      <c r="I456" s="2">
        <v>109085.17</v>
      </c>
      <c r="J456">
        <v>92</v>
      </c>
      <c r="K456">
        <v>4</v>
      </c>
      <c r="L456">
        <v>447</v>
      </c>
      <c r="M456">
        <v>6</v>
      </c>
      <c r="N456">
        <v>28</v>
      </c>
      <c r="O456" s="2">
        <v>264173.18</v>
      </c>
      <c r="P456" s="2">
        <v>102.05</v>
      </c>
      <c r="Q456" s="2">
        <v>110.23</v>
      </c>
    </row>
    <row r="457" spans="1:17" x14ac:dyDescent="0.45">
      <c r="A457" s="1">
        <v>44197</v>
      </c>
      <c r="B457">
        <v>2021</v>
      </c>
      <c r="C457">
        <v>4</v>
      </c>
      <c r="D457" t="s">
        <v>19</v>
      </c>
      <c r="E457" s="2">
        <v>4800000</v>
      </c>
      <c r="F457" s="2">
        <v>399304.71</v>
      </c>
      <c r="G457" s="2">
        <v>334574.15999999997</v>
      </c>
      <c r="H457" s="2">
        <v>54674.96</v>
      </c>
      <c r="I457" s="2">
        <v>10828.1</v>
      </c>
      <c r="J457">
        <v>36</v>
      </c>
      <c r="K457">
        <v>0</v>
      </c>
      <c r="L457">
        <v>2</v>
      </c>
      <c r="M457">
        <v>3</v>
      </c>
      <c r="N457">
        <v>15</v>
      </c>
      <c r="O457" s="2">
        <v>48324.5</v>
      </c>
      <c r="P457" s="2">
        <v>104.43</v>
      </c>
      <c r="Q457" s="2">
        <v>99.55</v>
      </c>
    </row>
    <row r="458" spans="1:17" x14ac:dyDescent="0.45">
      <c r="A458" s="1">
        <v>44531</v>
      </c>
      <c r="B458">
        <v>2022</v>
      </c>
      <c r="C458">
        <v>3</v>
      </c>
      <c r="D458" t="s">
        <v>21</v>
      </c>
      <c r="E458" s="2">
        <v>8280000</v>
      </c>
      <c r="F458" s="2">
        <v>724586.59</v>
      </c>
      <c r="G458" s="2">
        <v>432820.87</v>
      </c>
      <c r="H458" s="2">
        <v>256127.49</v>
      </c>
      <c r="I458" s="2">
        <v>29434.48</v>
      </c>
      <c r="J458">
        <v>63</v>
      </c>
      <c r="K458">
        <v>1</v>
      </c>
      <c r="L458">
        <v>94</v>
      </c>
      <c r="M458">
        <v>5</v>
      </c>
      <c r="N458">
        <v>19</v>
      </c>
      <c r="O458" s="2">
        <v>70712.39</v>
      </c>
      <c r="P458" s="2">
        <v>107.18</v>
      </c>
      <c r="Q458" s="2">
        <v>103.55</v>
      </c>
    </row>
    <row r="459" spans="1:17" x14ac:dyDescent="0.45">
      <c r="A459" s="1">
        <v>45444</v>
      </c>
      <c r="B459">
        <v>2024</v>
      </c>
      <c r="C459">
        <v>9</v>
      </c>
      <c r="D459" t="s">
        <v>17</v>
      </c>
      <c r="E459" s="2">
        <v>8094000</v>
      </c>
      <c r="F459" s="2">
        <v>693254.78</v>
      </c>
      <c r="G459" s="2">
        <v>370662.7</v>
      </c>
      <c r="H459" s="2">
        <v>261027.65</v>
      </c>
      <c r="I459" s="2">
        <v>23478.240000000002</v>
      </c>
      <c r="J459">
        <v>46</v>
      </c>
      <c r="K459">
        <v>1</v>
      </c>
      <c r="L459">
        <v>57</v>
      </c>
      <c r="M459">
        <v>0</v>
      </c>
      <c r="N459">
        <v>12</v>
      </c>
      <c r="O459" s="2">
        <v>14945.03</v>
      </c>
      <c r="P459" s="2">
        <v>99.91</v>
      </c>
      <c r="Q459" s="2">
        <v>112.6</v>
      </c>
    </row>
    <row r="460" spans="1:17" x14ac:dyDescent="0.45">
      <c r="A460" s="1">
        <v>44409</v>
      </c>
      <c r="B460">
        <v>2021</v>
      </c>
      <c r="C460">
        <v>11</v>
      </c>
      <c r="D460" t="s">
        <v>21</v>
      </c>
      <c r="E460" s="2">
        <v>8000000</v>
      </c>
      <c r="F460" s="2">
        <v>626687.86</v>
      </c>
      <c r="G460" s="2">
        <v>410855.73</v>
      </c>
      <c r="H460" s="2">
        <v>221526.92</v>
      </c>
      <c r="I460" s="2">
        <v>30945.17</v>
      </c>
      <c r="J460">
        <v>62</v>
      </c>
      <c r="K460">
        <v>7</v>
      </c>
      <c r="L460">
        <v>75</v>
      </c>
      <c r="M460">
        <v>0</v>
      </c>
      <c r="N460">
        <v>7</v>
      </c>
      <c r="O460" s="2">
        <v>7998.66</v>
      </c>
      <c r="P460" s="2">
        <v>104.78</v>
      </c>
      <c r="Q460" s="2">
        <v>102.49</v>
      </c>
    </row>
    <row r="461" spans="1:17" x14ac:dyDescent="0.45">
      <c r="A461" s="1">
        <v>45323</v>
      </c>
      <c r="B461">
        <v>2024</v>
      </c>
      <c r="C461">
        <v>5</v>
      </c>
      <c r="D461" t="s">
        <v>23</v>
      </c>
      <c r="E461" s="2">
        <v>21066000</v>
      </c>
      <c r="F461" s="2">
        <v>1543983.6</v>
      </c>
      <c r="G461" s="2">
        <v>833994.69</v>
      </c>
      <c r="H461" s="2">
        <v>473404.96</v>
      </c>
      <c r="I461" s="2">
        <v>123212.06</v>
      </c>
      <c r="J461">
        <v>95</v>
      </c>
      <c r="K461">
        <v>10</v>
      </c>
      <c r="L461">
        <v>446</v>
      </c>
      <c r="M461">
        <v>4</v>
      </c>
      <c r="N461">
        <v>28</v>
      </c>
      <c r="O461" s="2">
        <v>201208.9</v>
      </c>
      <c r="P461" s="2">
        <v>98.56</v>
      </c>
      <c r="Q461" s="2">
        <v>110.89</v>
      </c>
    </row>
    <row r="462" spans="1:17" x14ac:dyDescent="0.45">
      <c r="A462" s="1">
        <v>45536</v>
      </c>
      <c r="B462">
        <v>2024</v>
      </c>
      <c r="C462">
        <v>12</v>
      </c>
      <c r="D462" t="s">
        <v>27</v>
      </c>
      <c r="E462" s="2">
        <v>27718000</v>
      </c>
      <c r="F462" s="2">
        <v>2905207.56</v>
      </c>
      <c r="G462" s="2">
        <v>1926608.78</v>
      </c>
      <c r="H462" s="2">
        <v>555855.39</v>
      </c>
      <c r="I462" s="2">
        <v>354793.06</v>
      </c>
      <c r="J462">
        <v>211</v>
      </c>
      <c r="K462">
        <v>15</v>
      </c>
      <c r="L462">
        <v>1050</v>
      </c>
      <c r="M462">
        <v>9</v>
      </c>
      <c r="N462">
        <v>36</v>
      </c>
      <c r="O462" s="2">
        <v>505823.01</v>
      </c>
      <c r="P462" s="2">
        <v>108.39</v>
      </c>
      <c r="Q462" s="2">
        <v>114.53</v>
      </c>
    </row>
    <row r="463" spans="1:17" x14ac:dyDescent="0.45">
      <c r="A463" s="1">
        <v>45108</v>
      </c>
      <c r="B463">
        <v>2023</v>
      </c>
      <c r="C463">
        <v>10</v>
      </c>
      <c r="D463" t="s">
        <v>27</v>
      </c>
      <c r="E463" s="2">
        <v>26781000</v>
      </c>
      <c r="F463" s="2">
        <v>2596953.71</v>
      </c>
      <c r="G463" s="2">
        <v>1811170.66</v>
      </c>
      <c r="H463" s="2">
        <v>417972.57</v>
      </c>
      <c r="I463" s="2">
        <v>312428.40999999997</v>
      </c>
      <c r="J463">
        <v>215</v>
      </c>
      <c r="K463">
        <v>17</v>
      </c>
      <c r="L463">
        <v>839</v>
      </c>
      <c r="M463">
        <v>11</v>
      </c>
      <c r="N463">
        <v>41</v>
      </c>
      <c r="O463" s="2">
        <v>525014.43999999994</v>
      </c>
      <c r="P463" s="2">
        <v>103.04</v>
      </c>
      <c r="Q463" s="2">
        <v>108.64</v>
      </c>
    </row>
    <row r="464" spans="1:17" x14ac:dyDescent="0.45">
      <c r="A464" s="1">
        <v>45474</v>
      </c>
      <c r="B464">
        <v>2024</v>
      </c>
      <c r="C464">
        <v>10</v>
      </c>
      <c r="D464" t="s">
        <v>19</v>
      </c>
      <c r="E464" s="2">
        <v>5322000</v>
      </c>
      <c r="F464" s="2">
        <v>478897.4</v>
      </c>
      <c r="G464" s="2">
        <v>408551.7</v>
      </c>
      <c r="H464" s="2">
        <v>66843.59</v>
      </c>
      <c r="I464" s="2">
        <v>4412.8100000000004</v>
      </c>
      <c r="J464">
        <v>38</v>
      </c>
      <c r="K464">
        <v>3</v>
      </c>
      <c r="L464">
        <v>37</v>
      </c>
      <c r="M464">
        <v>4</v>
      </c>
      <c r="N464">
        <v>17</v>
      </c>
      <c r="O464" s="2">
        <v>44538.53</v>
      </c>
      <c r="P464" s="2">
        <v>104.27</v>
      </c>
      <c r="Q464" s="2">
        <v>113.03</v>
      </c>
    </row>
    <row r="465" spans="1:17" x14ac:dyDescent="0.45">
      <c r="A465" s="1">
        <v>45717</v>
      </c>
      <c r="B465">
        <v>2025</v>
      </c>
      <c r="C465">
        <v>6</v>
      </c>
      <c r="D465" t="s">
        <v>19</v>
      </c>
      <c r="E465" s="2">
        <v>5508000</v>
      </c>
      <c r="F465" s="2">
        <v>472276.91</v>
      </c>
      <c r="G465" s="2">
        <v>386354.14</v>
      </c>
      <c r="H465" s="2">
        <v>70736.08</v>
      </c>
      <c r="I465" s="2">
        <v>6756.96</v>
      </c>
      <c r="J465">
        <v>37</v>
      </c>
      <c r="K465">
        <v>4</v>
      </c>
      <c r="L465">
        <v>27</v>
      </c>
      <c r="M465">
        <v>3</v>
      </c>
      <c r="N465">
        <v>17</v>
      </c>
      <c r="O465" s="2">
        <v>48040.08</v>
      </c>
      <c r="P465" s="2">
        <v>111.7</v>
      </c>
      <c r="Q465" s="2">
        <v>116.2</v>
      </c>
    </row>
    <row r="466" spans="1:17" x14ac:dyDescent="0.45">
      <c r="A466" s="1">
        <v>45505</v>
      </c>
      <c r="B466">
        <v>2024</v>
      </c>
      <c r="C466">
        <v>11</v>
      </c>
      <c r="D466" t="s">
        <v>19</v>
      </c>
      <c r="E466" s="2">
        <v>5322000</v>
      </c>
      <c r="F466" s="2">
        <v>449833.19</v>
      </c>
      <c r="G466" s="2">
        <v>376685.8</v>
      </c>
      <c r="H466" s="2">
        <v>65578.95</v>
      </c>
      <c r="I466" s="2">
        <v>5852.51</v>
      </c>
      <c r="J466">
        <v>39</v>
      </c>
      <c r="K466">
        <v>5</v>
      </c>
      <c r="L466">
        <v>55</v>
      </c>
      <c r="M466">
        <v>3</v>
      </c>
      <c r="N466">
        <v>15</v>
      </c>
      <c r="O466" s="2">
        <v>43425.760000000002</v>
      </c>
      <c r="P466" s="2">
        <v>105.91</v>
      </c>
      <c r="Q466" s="2">
        <v>113.8</v>
      </c>
    </row>
    <row r="467" spans="1:17" x14ac:dyDescent="0.45">
      <c r="A467" s="1">
        <v>44743</v>
      </c>
      <c r="B467">
        <v>2022</v>
      </c>
      <c r="C467">
        <v>10</v>
      </c>
      <c r="D467" t="s">
        <v>21</v>
      </c>
      <c r="E467" s="2">
        <v>8280000</v>
      </c>
      <c r="F467" s="2">
        <v>664835.37</v>
      </c>
      <c r="G467" s="2">
        <v>440550.23</v>
      </c>
      <c r="H467" s="2">
        <v>192111.52</v>
      </c>
      <c r="I467" s="2">
        <v>28321.33</v>
      </c>
      <c r="J467">
        <v>64</v>
      </c>
      <c r="K467">
        <v>6</v>
      </c>
      <c r="L467">
        <v>61</v>
      </c>
      <c r="M467">
        <v>1</v>
      </c>
      <c r="N467">
        <v>16</v>
      </c>
      <c r="O467" s="2">
        <v>30855.040000000001</v>
      </c>
      <c r="P467" s="2">
        <v>110.07</v>
      </c>
      <c r="Q467" s="2">
        <v>104.95</v>
      </c>
    </row>
    <row r="468" spans="1:17" x14ac:dyDescent="0.45">
      <c r="A468" s="1">
        <v>45689</v>
      </c>
      <c r="B468">
        <v>2025</v>
      </c>
      <c r="C468">
        <v>5</v>
      </c>
      <c r="D468" t="s">
        <v>29</v>
      </c>
      <c r="E468" s="2">
        <v>25246000</v>
      </c>
      <c r="F468" s="2">
        <v>2155827.15</v>
      </c>
      <c r="G468" s="2">
        <v>1669536.47</v>
      </c>
      <c r="H468" s="2">
        <v>377295.63</v>
      </c>
      <c r="I468" s="2">
        <v>49131.64</v>
      </c>
      <c r="J468">
        <v>175</v>
      </c>
      <c r="K468">
        <v>14</v>
      </c>
      <c r="L468">
        <v>711</v>
      </c>
      <c r="M468">
        <v>8</v>
      </c>
      <c r="N468">
        <v>35</v>
      </c>
      <c r="O468" s="2">
        <v>547815.68999999994</v>
      </c>
      <c r="P468" s="2">
        <v>108.58</v>
      </c>
      <c r="Q468" s="2">
        <v>115.1</v>
      </c>
    </row>
    <row r="469" spans="1:17" x14ac:dyDescent="0.45">
      <c r="A469" s="1">
        <v>45962</v>
      </c>
      <c r="B469">
        <v>2026</v>
      </c>
      <c r="C469">
        <v>2</v>
      </c>
      <c r="D469" t="s">
        <v>21</v>
      </c>
      <c r="E469" s="2">
        <v>9501000</v>
      </c>
      <c r="F469" s="2">
        <v>807296.29</v>
      </c>
      <c r="G469" s="2">
        <v>508767.29</v>
      </c>
      <c r="H469" s="2">
        <v>287146.77</v>
      </c>
      <c r="I469" s="2">
        <v>17455.330000000002</v>
      </c>
      <c r="J469">
        <v>67</v>
      </c>
      <c r="K469">
        <v>1</v>
      </c>
      <c r="L469">
        <v>66</v>
      </c>
      <c r="M469">
        <v>4</v>
      </c>
      <c r="N469">
        <v>16</v>
      </c>
      <c r="O469" s="2">
        <v>85857.47</v>
      </c>
      <c r="P469" s="2">
        <v>124.3</v>
      </c>
      <c r="Q469" s="2">
        <v>118.85</v>
      </c>
    </row>
    <row r="470" spans="1:17" x14ac:dyDescent="0.45">
      <c r="A470" s="1">
        <v>44621</v>
      </c>
      <c r="B470">
        <v>2022</v>
      </c>
      <c r="C470">
        <v>6</v>
      </c>
      <c r="D470" t="s">
        <v>18</v>
      </c>
      <c r="E470" s="2">
        <v>3622000</v>
      </c>
      <c r="F470" s="2">
        <v>304282.42</v>
      </c>
      <c r="G470" s="2">
        <v>258413.6</v>
      </c>
      <c r="H470" s="2">
        <v>41901.93</v>
      </c>
      <c r="I470" s="2">
        <v>6241.65</v>
      </c>
      <c r="J470">
        <v>28</v>
      </c>
      <c r="K470">
        <v>5</v>
      </c>
      <c r="L470">
        <v>33</v>
      </c>
      <c r="M470">
        <v>2</v>
      </c>
      <c r="N470">
        <v>9</v>
      </c>
      <c r="O470" s="2">
        <v>16281.09</v>
      </c>
      <c r="P470" s="2">
        <v>112.27</v>
      </c>
      <c r="Q470" s="2">
        <v>103.93</v>
      </c>
    </row>
    <row r="471" spans="1:17" x14ac:dyDescent="0.45">
      <c r="A471" s="1">
        <v>45170</v>
      </c>
      <c r="B471">
        <v>2023</v>
      </c>
      <c r="C471">
        <v>12</v>
      </c>
      <c r="D471" t="s">
        <v>18</v>
      </c>
      <c r="E471" s="2">
        <v>3749000</v>
      </c>
      <c r="F471" s="2">
        <v>317460.37</v>
      </c>
      <c r="G471" s="2">
        <v>265619.73</v>
      </c>
      <c r="H471" s="2">
        <v>45055.71</v>
      </c>
      <c r="I471" s="2">
        <v>6042.21</v>
      </c>
      <c r="J471">
        <v>28</v>
      </c>
      <c r="K471">
        <v>2</v>
      </c>
      <c r="L471">
        <v>33</v>
      </c>
      <c r="M471">
        <v>4</v>
      </c>
      <c r="N471">
        <v>16</v>
      </c>
      <c r="O471" s="2">
        <v>34010.6</v>
      </c>
      <c r="P471" s="2">
        <v>103.43</v>
      </c>
      <c r="Q471" s="2">
        <v>110.5</v>
      </c>
    </row>
    <row r="472" spans="1:17" x14ac:dyDescent="0.45">
      <c r="A472" s="1">
        <v>44531</v>
      </c>
      <c r="B472">
        <v>2022</v>
      </c>
      <c r="C472">
        <v>3</v>
      </c>
      <c r="D472" t="s">
        <v>27</v>
      </c>
      <c r="E472" s="2">
        <v>25875000</v>
      </c>
      <c r="F472" s="2">
        <v>2139745.0499999998</v>
      </c>
      <c r="G472" s="2">
        <v>1647145.85</v>
      </c>
      <c r="H472" s="2">
        <v>501644.95</v>
      </c>
      <c r="I472" s="2">
        <v>64157.48</v>
      </c>
      <c r="J472">
        <v>203</v>
      </c>
      <c r="K472">
        <v>22</v>
      </c>
      <c r="L472">
        <v>812</v>
      </c>
      <c r="M472">
        <v>12</v>
      </c>
      <c r="N472">
        <v>36</v>
      </c>
      <c r="O472" s="2">
        <v>864908.9</v>
      </c>
      <c r="P472" s="2">
        <v>107.53</v>
      </c>
      <c r="Q472" s="2">
        <v>102.77</v>
      </c>
    </row>
    <row r="473" spans="1:17" x14ac:dyDescent="0.45">
      <c r="A473" s="1">
        <v>44621</v>
      </c>
      <c r="B473">
        <v>2022</v>
      </c>
      <c r="C473">
        <v>6</v>
      </c>
      <c r="D473" t="s">
        <v>19</v>
      </c>
      <c r="E473" s="2">
        <v>4968000</v>
      </c>
      <c r="F473" s="2">
        <v>425491.08</v>
      </c>
      <c r="G473" s="2">
        <v>348550.81</v>
      </c>
      <c r="H473" s="2">
        <v>63891.37</v>
      </c>
      <c r="I473" s="2">
        <v>22146.51</v>
      </c>
      <c r="J473">
        <v>37</v>
      </c>
      <c r="K473">
        <v>5</v>
      </c>
      <c r="L473">
        <v>80</v>
      </c>
      <c r="M473">
        <v>2</v>
      </c>
      <c r="N473">
        <v>13</v>
      </c>
      <c r="O473" s="2">
        <v>24775.78</v>
      </c>
      <c r="P473" s="2">
        <v>112.85</v>
      </c>
      <c r="Q473" s="2">
        <v>103.97</v>
      </c>
    </row>
    <row r="474" spans="1:17" x14ac:dyDescent="0.45">
      <c r="A474" s="1">
        <v>45870</v>
      </c>
      <c r="B474">
        <v>2025</v>
      </c>
      <c r="C474">
        <v>11</v>
      </c>
      <c r="D474" t="s">
        <v>27</v>
      </c>
      <c r="E474" s="2">
        <v>28688000</v>
      </c>
      <c r="F474" s="2">
        <v>2529294.6800000002</v>
      </c>
      <c r="G474" s="2">
        <v>1962887.77</v>
      </c>
      <c r="H474" s="2">
        <v>610908.06999999995</v>
      </c>
      <c r="I474" s="2">
        <v>22597.31</v>
      </c>
      <c r="J474">
        <v>211</v>
      </c>
      <c r="K474">
        <v>17</v>
      </c>
      <c r="L474">
        <v>1092</v>
      </c>
      <c r="M474">
        <v>8</v>
      </c>
      <c r="N474">
        <v>27</v>
      </c>
      <c r="O474" s="2">
        <v>485974.16</v>
      </c>
      <c r="P474" s="2">
        <v>117.05</v>
      </c>
      <c r="Q474" s="2">
        <v>117.95</v>
      </c>
    </row>
    <row r="475" spans="1:17" x14ac:dyDescent="0.45">
      <c r="A475" s="1">
        <v>45566</v>
      </c>
      <c r="B475">
        <v>2025</v>
      </c>
      <c r="C475">
        <v>1</v>
      </c>
      <c r="D475" t="s">
        <v>21</v>
      </c>
      <c r="E475" s="2">
        <v>9180000</v>
      </c>
      <c r="F475" s="2">
        <v>796952.48</v>
      </c>
      <c r="G475" s="2">
        <v>527495.46</v>
      </c>
      <c r="H475" s="2">
        <v>231392.83</v>
      </c>
      <c r="I475" s="2">
        <v>13779.07</v>
      </c>
      <c r="J475">
        <v>67</v>
      </c>
      <c r="K475">
        <v>10</v>
      </c>
      <c r="L475">
        <v>153</v>
      </c>
      <c r="M475">
        <v>2</v>
      </c>
      <c r="N475">
        <v>16</v>
      </c>
      <c r="O475" s="2">
        <v>49583.92</v>
      </c>
      <c r="P475" s="2">
        <v>104.6</v>
      </c>
      <c r="Q475" s="2">
        <v>113.77</v>
      </c>
    </row>
    <row r="476" spans="1:17" x14ac:dyDescent="0.45">
      <c r="A476" s="1">
        <v>44562</v>
      </c>
      <c r="B476">
        <v>2022</v>
      </c>
      <c r="C476">
        <v>4</v>
      </c>
      <c r="D476" t="s">
        <v>21</v>
      </c>
      <c r="E476" s="2">
        <v>8280000</v>
      </c>
      <c r="F476" s="2">
        <v>874118.43</v>
      </c>
      <c r="G476" s="2">
        <v>441675.21</v>
      </c>
      <c r="H476" s="2">
        <v>215720.7</v>
      </c>
      <c r="I476" s="2">
        <v>171843.56</v>
      </c>
      <c r="J476">
        <v>63</v>
      </c>
      <c r="K476">
        <v>2</v>
      </c>
      <c r="L476">
        <v>74</v>
      </c>
      <c r="M476">
        <v>3</v>
      </c>
      <c r="N476">
        <v>14</v>
      </c>
      <c r="O476" s="2">
        <v>74374.3</v>
      </c>
      <c r="P476" s="2">
        <v>112.01</v>
      </c>
      <c r="Q476" s="2">
        <v>103.02</v>
      </c>
    </row>
    <row r="477" spans="1:17" x14ac:dyDescent="0.45">
      <c r="A477" s="1">
        <v>45170</v>
      </c>
      <c r="B477">
        <v>2023</v>
      </c>
      <c r="C477">
        <v>12</v>
      </c>
      <c r="D477" t="s">
        <v>27</v>
      </c>
      <c r="E477" s="2">
        <v>26781000</v>
      </c>
      <c r="F477" s="2">
        <v>2320273.7799999998</v>
      </c>
      <c r="G477" s="2">
        <v>1760423.93</v>
      </c>
      <c r="H477" s="2">
        <v>425196.54</v>
      </c>
      <c r="I477" s="2">
        <v>56384.5</v>
      </c>
      <c r="J477">
        <v>212</v>
      </c>
      <c r="K477">
        <v>14</v>
      </c>
      <c r="L477">
        <v>828</v>
      </c>
      <c r="M477">
        <v>8</v>
      </c>
      <c r="N477">
        <v>34</v>
      </c>
      <c r="O477" s="2">
        <v>657469.42000000004</v>
      </c>
      <c r="P477" s="2">
        <v>94.29</v>
      </c>
      <c r="Q477" s="2">
        <v>109.83</v>
      </c>
    </row>
    <row r="478" spans="1:17" x14ac:dyDescent="0.45">
      <c r="A478" s="1">
        <v>45809</v>
      </c>
      <c r="B478">
        <v>2025</v>
      </c>
      <c r="C478">
        <v>9</v>
      </c>
      <c r="D478" t="s">
        <v>28</v>
      </c>
      <c r="E478" s="2">
        <v>25246000</v>
      </c>
      <c r="F478" s="2">
        <v>2309645.27</v>
      </c>
      <c r="G478" s="2">
        <v>1834513.91</v>
      </c>
      <c r="H478" s="2">
        <v>426618.35</v>
      </c>
      <c r="I478" s="2">
        <v>27198.13</v>
      </c>
      <c r="J478">
        <v>188</v>
      </c>
      <c r="K478">
        <v>13</v>
      </c>
      <c r="L478">
        <v>856</v>
      </c>
      <c r="M478">
        <v>7</v>
      </c>
      <c r="N478">
        <v>29</v>
      </c>
      <c r="O478" s="2">
        <v>515424.03</v>
      </c>
      <c r="P478" s="2">
        <v>112.04</v>
      </c>
      <c r="Q478" s="2">
        <v>117.12</v>
      </c>
    </row>
    <row r="479" spans="1:17" x14ac:dyDescent="0.45">
      <c r="A479" s="1">
        <v>45658</v>
      </c>
      <c r="B479">
        <v>2025</v>
      </c>
      <c r="C479">
        <v>4</v>
      </c>
      <c r="D479" t="s">
        <v>24</v>
      </c>
      <c r="E479" s="2">
        <v>15492000</v>
      </c>
      <c r="F479" s="2">
        <v>1292202.7</v>
      </c>
      <c r="G479" s="2">
        <v>646951.16</v>
      </c>
      <c r="H479" s="2">
        <v>548410.4</v>
      </c>
      <c r="I479" s="2">
        <v>89736.85</v>
      </c>
      <c r="J479">
        <v>85</v>
      </c>
      <c r="K479">
        <v>8</v>
      </c>
      <c r="M479">
        <v>5</v>
      </c>
      <c r="N479">
        <v>21</v>
      </c>
      <c r="O479" s="2">
        <v>221123.52</v>
      </c>
      <c r="P479" s="2">
        <v>110.63</v>
      </c>
      <c r="Q479" s="2">
        <v>115.27</v>
      </c>
    </row>
    <row r="480" spans="1:17" x14ac:dyDescent="0.45">
      <c r="A480" s="1">
        <v>44986</v>
      </c>
      <c r="B480">
        <v>2023</v>
      </c>
      <c r="C480">
        <v>6</v>
      </c>
      <c r="D480" t="s">
        <v>23</v>
      </c>
      <c r="E480" s="2">
        <v>20353000</v>
      </c>
      <c r="F480" s="2">
        <v>1757393.76</v>
      </c>
      <c r="G480" s="2">
        <v>803144.52</v>
      </c>
      <c r="H480" s="2">
        <v>795577.67</v>
      </c>
      <c r="I480" s="2">
        <v>72700.070000000007</v>
      </c>
      <c r="J480">
        <v>97</v>
      </c>
      <c r="K480">
        <v>6</v>
      </c>
      <c r="L480">
        <v>529</v>
      </c>
      <c r="M480">
        <v>6</v>
      </c>
      <c r="N480">
        <v>33</v>
      </c>
      <c r="O480" s="2">
        <v>369442.93</v>
      </c>
      <c r="P480" s="2">
        <v>104.44</v>
      </c>
      <c r="Q480" s="2">
        <v>106.72</v>
      </c>
    </row>
    <row r="481" spans="1:17" x14ac:dyDescent="0.45">
      <c r="A481" s="1">
        <v>45323</v>
      </c>
      <c r="B481">
        <v>2024</v>
      </c>
      <c r="C481">
        <v>5</v>
      </c>
      <c r="D481" t="s">
        <v>25</v>
      </c>
      <c r="E481" s="2">
        <v>4657000</v>
      </c>
      <c r="F481" s="2">
        <v>396267.47</v>
      </c>
      <c r="G481" s="2">
        <v>333859.03999999998</v>
      </c>
      <c r="H481" s="2">
        <v>60716.65</v>
      </c>
      <c r="I481" s="2">
        <v>3662.02</v>
      </c>
      <c r="J481">
        <v>34</v>
      </c>
      <c r="K481">
        <v>2</v>
      </c>
      <c r="L481">
        <v>16</v>
      </c>
      <c r="M481">
        <v>2</v>
      </c>
      <c r="N481">
        <v>14</v>
      </c>
      <c r="O481" s="2">
        <v>30156.44</v>
      </c>
      <c r="P481" s="2">
        <v>101.24</v>
      </c>
      <c r="Q481" s="2">
        <v>111.25</v>
      </c>
    </row>
    <row r="482" spans="1:17" x14ac:dyDescent="0.45">
      <c r="A482" s="1">
        <v>45658</v>
      </c>
      <c r="B482">
        <v>2025</v>
      </c>
      <c r="C482">
        <v>4</v>
      </c>
      <c r="D482" t="s">
        <v>27</v>
      </c>
      <c r="E482" s="2">
        <v>28688000</v>
      </c>
      <c r="F482" s="2">
        <v>2393098.8199999998</v>
      </c>
      <c r="G482" s="2">
        <v>1837933.06</v>
      </c>
      <c r="H482" s="2">
        <v>484809.75</v>
      </c>
      <c r="I482" s="2">
        <v>79075.570000000007</v>
      </c>
      <c r="J482">
        <v>215</v>
      </c>
      <c r="K482">
        <v>13</v>
      </c>
      <c r="L482">
        <v>674</v>
      </c>
      <c r="M482">
        <v>9</v>
      </c>
      <c r="N482">
        <v>40</v>
      </c>
      <c r="O482" s="2">
        <v>750135.88</v>
      </c>
      <c r="P482" s="2">
        <v>105.59</v>
      </c>
      <c r="Q482" s="2">
        <v>115.51</v>
      </c>
    </row>
    <row r="483" spans="1:17" x14ac:dyDescent="0.45">
      <c r="A483" s="1">
        <v>45352</v>
      </c>
      <c r="B483">
        <v>2024</v>
      </c>
      <c r="C483">
        <v>6</v>
      </c>
      <c r="D483" t="s">
        <v>18</v>
      </c>
      <c r="E483" s="2">
        <v>3881000</v>
      </c>
      <c r="F483" s="2">
        <v>373443.57</v>
      </c>
      <c r="G483" s="2">
        <v>316999.39</v>
      </c>
      <c r="H483" s="2">
        <v>45064.26</v>
      </c>
      <c r="I483" s="2">
        <v>7376.53</v>
      </c>
      <c r="J483">
        <v>29</v>
      </c>
      <c r="K483">
        <v>5</v>
      </c>
      <c r="L483">
        <v>45</v>
      </c>
      <c r="M483">
        <v>0</v>
      </c>
      <c r="N483">
        <v>8</v>
      </c>
      <c r="O483" s="2">
        <v>6174.85</v>
      </c>
      <c r="P483" s="2">
        <v>101.78</v>
      </c>
      <c r="Q483" s="2">
        <v>111.96</v>
      </c>
    </row>
    <row r="484" spans="1:17" x14ac:dyDescent="0.45">
      <c r="A484" s="1">
        <v>45352</v>
      </c>
      <c r="B484">
        <v>2024</v>
      </c>
      <c r="C484">
        <v>6</v>
      </c>
      <c r="D484" t="s">
        <v>17</v>
      </c>
      <c r="E484" s="2">
        <v>8094000</v>
      </c>
      <c r="F484" s="2">
        <v>669307.84</v>
      </c>
      <c r="G484" s="2">
        <v>374119.37</v>
      </c>
      <c r="H484" s="2">
        <v>261567.35999999999</v>
      </c>
      <c r="I484" s="2">
        <v>42956.42</v>
      </c>
      <c r="J484">
        <v>46</v>
      </c>
      <c r="K484">
        <v>2</v>
      </c>
      <c r="L484">
        <v>25</v>
      </c>
      <c r="M484">
        <v>0</v>
      </c>
      <c r="N484">
        <v>16</v>
      </c>
      <c r="O484" s="2">
        <v>23615.5</v>
      </c>
      <c r="P484" s="2">
        <v>99.21</v>
      </c>
      <c r="Q484" s="2">
        <v>112.27</v>
      </c>
    </row>
    <row r="485" spans="1:17" x14ac:dyDescent="0.45">
      <c r="A485" s="1">
        <v>44805</v>
      </c>
      <c r="B485">
        <v>2022</v>
      </c>
      <c r="C485">
        <v>12</v>
      </c>
      <c r="D485" t="s">
        <v>23</v>
      </c>
      <c r="E485" s="2">
        <v>19665000</v>
      </c>
      <c r="F485" s="2">
        <v>1637580.54</v>
      </c>
      <c r="G485" s="2">
        <v>766812.06</v>
      </c>
      <c r="H485" s="2">
        <v>864186.39</v>
      </c>
      <c r="I485" s="2">
        <v>55468.42</v>
      </c>
      <c r="J485">
        <v>94</v>
      </c>
      <c r="K485">
        <v>8</v>
      </c>
      <c r="L485">
        <v>369</v>
      </c>
      <c r="M485">
        <v>9</v>
      </c>
      <c r="N485">
        <v>37</v>
      </c>
      <c r="O485" s="2">
        <v>443705.53</v>
      </c>
      <c r="P485" s="2">
        <v>109</v>
      </c>
      <c r="Q485" s="2">
        <v>105.81</v>
      </c>
    </row>
    <row r="486" spans="1:17" x14ac:dyDescent="0.45">
      <c r="A486" s="1">
        <v>45505</v>
      </c>
      <c r="B486">
        <v>2024</v>
      </c>
      <c r="C486">
        <v>11</v>
      </c>
      <c r="D486" t="s">
        <v>24</v>
      </c>
      <c r="E486" s="2">
        <v>14968000</v>
      </c>
      <c r="F486" s="2">
        <v>1676308.87</v>
      </c>
      <c r="G486" s="2">
        <v>661480.80000000005</v>
      </c>
      <c r="H486" s="2">
        <v>590788.72</v>
      </c>
      <c r="I486" s="2">
        <v>431914.48</v>
      </c>
      <c r="J486">
        <v>84</v>
      </c>
      <c r="K486">
        <v>6</v>
      </c>
      <c r="L486">
        <v>106</v>
      </c>
      <c r="M486">
        <v>5</v>
      </c>
      <c r="N486">
        <v>23</v>
      </c>
      <c r="O486" s="2">
        <v>155036.49</v>
      </c>
      <c r="P486" s="2">
        <v>106.52</v>
      </c>
      <c r="Q486" s="2">
        <v>113.69</v>
      </c>
    </row>
    <row r="487" spans="1:17" x14ac:dyDescent="0.45">
      <c r="A487" s="1">
        <v>44228</v>
      </c>
      <c r="B487">
        <v>2021</v>
      </c>
      <c r="C487">
        <v>5</v>
      </c>
      <c r="D487" t="s">
        <v>17</v>
      </c>
      <c r="E487" s="2">
        <v>7300000</v>
      </c>
      <c r="F487" s="2">
        <v>553901.44999999995</v>
      </c>
      <c r="G487" s="2">
        <v>303482.93</v>
      </c>
      <c r="H487" s="2">
        <v>259273.86</v>
      </c>
      <c r="I487" s="2">
        <v>31890.26</v>
      </c>
      <c r="J487">
        <v>43</v>
      </c>
      <c r="K487">
        <v>2</v>
      </c>
      <c r="L487">
        <v>38</v>
      </c>
      <c r="M487">
        <v>1</v>
      </c>
      <c r="N487">
        <v>12</v>
      </c>
      <c r="O487" s="2">
        <v>26156.46</v>
      </c>
      <c r="P487" s="2">
        <v>103.25</v>
      </c>
      <c r="Q487" s="2">
        <v>100.61</v>
      </c>
    </row>
    <row r="488" spans="1:17" x14ac:dyDescent="0.45">
      <c r="A488" s="1">
        <v>45717</v>
      </c>
      <c r="B488">
        <v>2025</v>
      </c>
      <c r="C488">
        <v>6</v>
      </c>
      <c r="D488" t="s">
        <v>27</v>
      </c>
      <c r="E488" s="2">
        <v>28688000</v>
      </c>
      <c r="F488" s="2">
        <v>2668149.2599999998</v>
      </c>
      <c r="G488" s="2">
        <v>2024128.86</v>
      </c>
      <c r="H488" s="2">
        <v>529736.18000000005</v>
      </c>
      <c r="I488" s="2">
        <v>47275.53</v>
      </c>
      <c r="J488">
        <v>213</v>
      </c>
      <c r="K488">
        <v>14</v>
      </c>
      <c r="L488">
        <v>1021</v>
      </c>
      <c r="M488">
        <v>8</v>
      </c>
      <c r="N488">
        <v>30</v>
      </c>
      <c r="O488" s="2">
        <v>660715.27</v>
      </c>
      <c r="P488" s="2">
        <v>110.3</v>
      </c>
      <c r="Q488" s="2">
        <v>115.27</v>
      </c>
    </row>
    <row r="489" spans="1:17" x14ac:dyDescent="0.45">
      <c r="A489" s="1">
        <v>45231</v>
      </c>
      <c r="B489">
        <v>2024</v>
      </c>
      <c r="C489">
        <v>2</v>
      </c>
      <c r="D489" t="s">
        <v>18</v>
      </c>
      <c r="E489" s="2">
        <v>3881000</v>
      </c>
      <c r="F489" s="2">
        <v>373396.85</v>
      </c>
      <c r="G489" s="2">
        <v>284694.28999999998</v>
      </c>
      <c r="H489" s="2">
        <v>50176.44</v>
      </c>
      <c r="I489" s="2">
        <v>32929.96</v>
      </c>
      <c r="J489">
        <v>28</v>
      </c>
      <c r="K489">
        <v>2</v>
      </c>
      <c r="L489">
        <v>40</v>
      </c>
      <c r="M489">
        <v>0</v>
      </c>
      <c r="N489">
        <v>12</v>
      </c>
      <c r="O489" s="2">
        <v>5636.41</v>
      </c>
      <c r="P489" s="2">
        <v>100.13</v>
      </c>
      <c r="Q489" s="2">
        <v>111.11</v>
      </c>
    </row>
    <row r="490" spans="1:17" x14ac:dyDescent="0.45">
      <c r="A490" s="1">
        <v>45505</v>
      </c>
      <c r="B490">
        <v>2024</v>
      </c>
      <c r="C490">
        <v>11</v>
      </c>
      <c r="D490" t="s">
        <v>28</v>
      </c>
      <c r="E490" s="2">
        <v>24392000</v>
      </c>
      <c r="F490" s="2">
        <v>2117230.38</v>
      </c>
      <c r="G490" s="2">
        <v>1704425.07</v>
      </c>
      <c r="H490" s="2">
        <v>379476.34</v>
      </c>
      <c r="I490" s="2">
        <v>72278.2</v>
      </c>
      <c r="J490">
        <v>182</v>
      </c>
      <c r="K490">
        <v>16</v>
      </c>
      <c r="L490">
        <v>772</v>
      </c>
      <c r="M490">
        <v>7</v>
      </c>
      <c r="N490">
        <v>31</v>
      </c>
      <c r="O490" s="2">
        <v>456625.53</v>
      </c>
      <c r="P490" s="2">
        <v>105.09</v>
      </c>
      <c r="Q490" s="2">
        <v>113.57</v>
      </c>
    </row>
    <row r="491" spans="1:17" x14ac:dyDescent="0.45">
      <c r="A491" s="1">
        <v>44958</v>
      </c>
      <c r="B491">
        <v>2023</v>
      </c>
      <c r="C491">
        <v>5</v>
      </c>
      <c r="D491" t="s">
        <v>18</v>
      </c>
      <c r="E491" s="2">
        <v>3749000</v>
      </c>
      <c r="F491" s="2">
        <v>336939.12</v>
      </c>
      <c r="G491" s="2">
        <v>291896.13</v>
      </c>
      <c r="H491" s="2">
        <v>39703.86</v>
      </c>
      <c r="I491" s="2">
        <v>4083.86</v>
      </c>
      <c r="J491">
        <v>29</v>
      </c>
      <c r="K491">
        <v>1</v>
      </c>
      <c r="L491">
        <v>51</v>
      </c>
      <c r="M491">
        <v>0</v>
      </c>
      <c r="N491">
        <v>6</v>
      </c>
      <c r="O491" s="2">
        <v>3389.34</v>
      </c>
      <c r="P491" s="2">
        <v>105.04</v>
      </c>
      <c r="Q491" s="2">
        <v>108.11</v>
      </c>
    </row>
    <row r="492" spans="1:17" x14ac:dyDescent="0.45">
      <c r="A492" s="1">
        <v>44805</v>
      </c>
      <c r="B492">
        <v>2022</v>
      </c>
      <c r="C492">
        <v>12</v>
      </c>
      <c r="D492" t="s">
        <v>18</v>
      </c>
      <c r="E492" s="2">
        <v>3622000</v>
      </c>
      <c r="F492" s="2">
        <v>315668.68</v>
      </c>
      <c r="G492" s="2">
        <v>267231.69</v>
      </c>
      <c r="H492" s="2">
        <v>44657.55</v>
      </c>
      <c r="I492" s="2">
        <v>5978.65</v>
      </c>
      <c r="J492">
        <v>28</v>
      </c>
      <c r="K492">
        <v>2</v>
      </c>
      <c r="L492">
        <v>50</v>
      </c>
      <c r="M492">
        <v>3</v>
      </c>
      <c r="N492">
        <v>15</v>
      </c>
      <c r="O492" s="2">
        <v>27376.42</v>
      </c>
      <c r="P492" s="2">
        <v>108.31</v>
      </c>
      <c r="Q492" s="2">
        <v>106.36</v>
      </c>
    </row>
    <row r="493" spans="1:17" x14ac:dyDescent="0.45">
      <c r="A493" s="1">
        <v>44866</v>
      </c>
      <c r="B493">
        <v>2023</v>
      </c>
      <c r="C493">
        <v>2</v>
      </c>
      <c r="D493" t="s">
        <v>24</v>
      </c>
      <c r="E493" s="2">
        <v>14462000</v>
      </c>
      <c r="F493" s="2">
        <v>1588520.7</v>
      </c>
      <c r="G493" s="2">
        <v>597215.81999999995</v>
      </c>
      <c r="H493" s="2">
        <v>593487.12</v>
      </c>
      <c r="I493" s="2">
        <v>416981.1</v>
      </c>
      <c r="J493">
        <v>80</v>
      </c>
      <c r="K493">
        <v>5</v>
      </c>
      <c r="L493">
        <v>172</v>
      </c>
      <c r="M493">
        <v>5</v>
      </c>
      <c r="N493">
        <v>21</v>
      </c>
      <c r="O493" s="2">
        <v>144272.44</v>
      </c>
      <c r="P493" s="2">
        <v>107.44</v>
      </c>
      <c r="Q493" s="2">
        <v>106.84</v>
      </c>
    </row>
    <row r="494" spans="1:17" x14ac:dyDescent="0.45">
      <c r="A494" s="1">
        <v>45566</v>
      </c>
      <c r="B494">
        <v>2025</v>
      </c>
      <c r="C494">
        <v>1</v>
      </c>
      <c r="D494" t="s">
        <v>27</v>
      </c>
      <c r="E494" s="2">
        <v>28688000</v>
      </c>
      <c r="F494" s="2">
        <v>2726328.45</v>
      </c>
      <c r="G494" s="2">
        <v>1873256.13</v>
      </c>
      <c r="H494" s="2">
        <v>638264.9</v>
      </c>
      <c r="I494" s="2">
        <v>23714.38</v>
      </c>
      <c r="J494">
        <v>212</v>
      </c>
      <c r="K494">
        <v>15</v>
      </c>
      <c r="L494">
        <v>827</v>
      </c>
      <c r="M494">
        <v>10</v>
      </c>
      <c r="N494">
        <v>41</v>
      </c>
      <c r="O494" s="2">
        <v>903255.07</v>
      </c>
      <c r="P494" s="2">
        <v>105.31</v>
      </c>
      <c r="Q494" s="2">
        <v>113.63</v>
      </c>
    </row>
    <row r="495" spans="1:17" x14ac:dyDescent="0.45">
      <c r="A495" s="1">
        <v>45658</v>
      </c>
      <c r="B495">
        <v>2025</v>
      </c>
      <c r="C495">
        <v>4</v>
      </c>
      <c r="D495" t="s">
        <v>28</v>
      </c>
      <c r="E495" s="2">
        <v>25246000</v>
      </c>
      <c r="F495" s="2">
        <v>2149442.7799999998</v>
      </c>
      <c r="G495" s="2">
        <v>1707564.18</v>
      </c>
      <c r="H495" s="2">
        <v>358787.04</v>
      </c>
      <c r="I495" s="2">
        <v>35072.720000000001</v>
      </c>
      <c r="J495">
        <v>181</v>
      </c>
      <c r="K495">
        <v>15</v>
      </c>
      <c r="L495">
        <v>663</v>
      </c>
      <c r="M495">
        <v>9</v>
      </c>
      <c r="N495">
        <v>30</v>
      </c>
      <c r="O495" s="2">
        <v>553802.48</v>
      </c>
      <c r="P495" s="2">
        <v>108.45</v>
      </c>
      <c r="Q495" s="2">
        <v>115.19</v>
      </c>
    </row>
    <row r="496" spans="1:17" x14ac:dyDescent="0.45">
      <c r="A496" s="1">
        <v>45292</v>
      </c>
      <c r="B496">
        <v>2024</v>
      </c>
      <c r="C496">
        <v>4</v>
      </c>
      <c r="D496" t="s">
        <v>28</v>
      </c>
      <c r="E496" s="2">
        <v>24392000</v>
      </c>
      <c r="F496" s="2">
        <v>1994780.53</v>
      </c>
      <c r="G496" s="2">
        <v>1688217.42</v>
      </c>
      <c r="H496" s="2">
        <v>429028.83</v>
      </c>
      <c r="I496" s="2">
        <v>44847.59</v>
      </c>
      <c r="J496">
        <v>182</v>
      </c>
      <c r="K496">
        <v>14</v>
      </c>
      <c r="L496">
        <v>605</v>
      </c>
      <c r="M496">
        <v>4</v>
      </c>
      <c r="N496">
        <v>26</v>
      </c>
      <c r="O496" s="2">
        <v>329701.46999999997</v>
      </c>
      <c r="P496" s="2">
        <v>103.68</v>
      </c>
      <c r="Q496" s="2">
        <v>111.05</v>
      </c>
    </row>
    <row r="497" spans="1:17" x14ac:dyDescent="0.45">
      <c r="A497" s="1">
        <v>44531</v>
      </c>
      <c r="B497">
        <v>2022</v>
      </c>
      <c r="C497">
        <v>3</v>
      </c>
      <c r="D497" t="s">
        <v>19</v>
      </c>
      <c r="E497" s="2">
        <v>4968000</v>
      </c>
      <c r="F497" s="2">
        <v>436900.73</v>
      </c>
      <c r="G497" s="2">
        <v>340169.92</v>
      </c>
      <c r="H497" s="2">
        <v>85937.88</v>
      </c>
      <c r="I497" s="2">
        <v>4889.37</v>
      </c>
      <c r="J497">
        <v>36</v>
      </c>
      <c r="K497">
        <v>4</v>
      </c>
      <c r="L497">
        <v>50</v>
      </c>
      <c r="M497">
        <v>1</v>
      </c>
      <c r="N497">
        <v>12</v>
      </c>
      <c r="O497" s="2">
        <v>16988.259999999998</v>
      </c>
      <c r="P497" s="2">
        <v>114.8</v>
      </c>
      <c r="Q497" s="2">
        <v>103.13</v>
      </c>
    </row>
    <row r="498" spans="1:17" x14ac:dyDescent="0.45">
      <c r="A498" s="1">
        <v>44866</v>
      </c>
      <c r="B498">
        <v>2023</v>
      </c>
      <c r="C498">
        <v>2</v>
      </c>
      <c r="D498" t="s">
        <v>25</v>
      </c>
      <c r="E498" s="2">
        <v>4499000</v>
      </c>
      <c r="F498" s="2">
        <v>368990.69</v>
      </c>
      <c r="G498" s="2">
        <v>296884.74</v>
      </c>
      <c r="H498" s="2">
        <v>63505.49</v>
      </c>
      <c r="I498" s="2">
        <v>10971.99</v>
      </c>
      <c r="J498">
        <v>32</v>
      </c>
      <c r="K498">
        <v>4</v>
      </c>
      <c r="L498">
        <v>50</v>
      </c>
      <c r="M498">
        <v>1</v>
      </c>
      <c r="N498">
        <v>8</v>
      </c>
      <c r="O498" s="2">
        <v>14506.6</v>
      </c>
      <c r="P498" s="2">
        <v>107.63</v>
      </c>
      <c r="Q498" s="2">
        <v>107.07</v>
      </c>
    </row>
    <row r="499" spans="1:17" x14ac:dyDescent="0.45">
      <c r="A499" s="1">
        <v>44197</v>
      </c>
      <c r="B499">
        <v>2021</v>
      </c>
      <c r="C499">
        <v>4</v>
      </c>
      <c r="D499" t="s">
        <v>28</v>
      </c>
      <c r="E499" s="2">
        <v>22000000</v>
      </c>
      <c r="F499" s="2">
        <v>1889987.85</v>
      </c>
      <c r="G499" s="2">
        <v>1394409.14</v>
      </c>
      <c r="H499" s="2">
        <v>356967.71</v>
      </c>
      <c r="I499" s="2">
        <v>33023.42</v>
      </c>
      <c r="J499">
        <v>171</v>
      </c>
      <c r="K499">
        <v>18</v>
      </c>
      <c r="L499">
        <v>576</v>
      </c>
      <c r="M499">
        <v>8</v>
      </c>
      <c r="N499">
        <v>29</v>
      </c>
      <c r="O499" s="2">
        <v>351563.54</v>
      </c>
      <c r="P499" s="2">
        <v>100.06</v>
      </c>
      <c r="Q499" s="2">
        <v>99.8</v>
      </c>
    </row>
    <row r="500" spans="1:17" x14ac:dyDescent="0.45">
      <c r="A500" s="1">
        <v>44409</v>
      </c>
      <c r="B500">
        <v>2021</v>
      </c>
      <c r="C500">
        <v>11</v>
      </c>
      <c r="D500" t="s">
        <v>28</v>
      </c>
      <c r="E500" s="2">
        <v>22000000</v>
      </c>
      <c r="F500" s="2">
        <v>1998037.71</v>
      </c>
      <c r="G500" s="2">
        <v>1539957.85</v>
      </c>
      <c r="H500" s="2">
        <v>377677.46</v>
      </c>
      <c r="I500" s="2">
        <v>18693.060000000001</v>
      </c>
      <c r="J500">
        <v>180</v>
      </c>
      <c r="K500">
        <v>14</v>
      </c>
      <c r="L500">
        <v>715</v>
      </c>
      <c r="M500">
        <v>6</v>
      </c>
      <c r="N500">
        <v>30</v>
      </c>
      <c r="O500" s="2">
        <v>295210.43</v>
      </c>
      <c r="P500" s="2">
        <v>103.77</v>
      </c>
      <c r="Q500" s="2">
        <v>102.01</v>
      </c>
    </row>
    <row r="501" spans="1:17" x14ac:dyDescent="0.45">
      <c r="A501" s="1">
        <v>45689</v>
      </c>
      <c r="B501">
        <v>2025</v>
      </c>
      <c r="C501">
        <v>5</v>
      </c>
      <c r="D501" t="s">
        <v>27</v>
      </c>
      <c r="E501" s="2">
        <v>28688000</v>
      </c>
      <c r="F501" s="2">
        <v>2633769.0299999998</v>
      </c>
      <c r="G501" s="2">
        <v>1945218.8</v>
      </c>
      <c r="H501" s="2">
        <v>533096.71</v>
      </c>
      <c r="I501" s="2">
        <v>91298.19</v>
      </c>
      <c r="J501">
        <v>219</v>
      </c>
      <c r="K501">
        <v>16</v>
      </c>
      <c r="L501">
        <v>890</v>
      </c>
      <c r="M501">
        <v>10</v>
      </c>
      <c r="N501">
        <v>29</v>
      </c>
      <c r="O501" s="2">
        <v>471764.29</v>
      </c>
      <c r="P501" s="2">
        <v>109.31</v>
      </c>
      <c r="Q501" s="2">
        <v>114.81</v>
      </c>
    </row>
    <row r="502" spans="1:17" x14ac:dyDescent="0.45">
      <c r="A502" s="1">
        <v>45017</v>
      </c>
      <c r="B502">
        <v>2023</v>
      </c>
      <c r="C502">
        <v>7</v>
      </c>
      <c r="D502" t="s">
        <v>25</v>
      </c>
      <c r="E502" s="2">
        <v>4499000</v>
      </c>
      <c r="F502" s="2">
        <v>397108.56</v>
      </c>
      <c r="G502" s="2">
        <v>321065.33</v>
      </c>
      <c r="H502" s="2">
        <v>62796.51</v>
      </c>
      <c r="I502" s="2">
        <v>8746.85</v>
      </c>
      <c r="J502">
        <v>33</v>
      </c>
      <c r="K502">
        <v>1</v>
      </c>
      <c r="L502">
        <v>38</v>
      </c>
      <c r="M502">
        <v>1</v>
      </c>
      <c r="N502">
        <v>16</v>
      </c>
      <c r="O502" s="2">
        <v>19856.27</v>
      </c>
      <c r="P502" s="2">
        <v>105.23</v>
      </c>
      <c r="Q502" s="2">
        <v>108.17</v>
      </c>
    </row>
    <row r="503" spans="1:17" x14ac:dyDescent="0.45">
      <c r="A503" s="1">
        <v>45931</v>
      </c>
      <c r="B503">
        <v>2026</v>
      </c>
      <c r="C503">
        <v>1</v>
      </c>
      <c r="D503" t="s">
        <v>19</v>
      </c>
      <c r="E503" s="2">
        <v>5701000</v>
      </c>
      <c r="F503" s="2">
        <v>511389.04</v>
      </c>
      <c r="G503" s="2">
        <v>416401.94</v>
      </c>
      <c r="H503" s="2">
        <v>81370.91</v>
      </c>
      <c r="I503" s="2">
        <v>6980.47</v>
      </c>
      <c r="J503">
        <v>38</v>
      </c>
      <c r="K503">
        <v>0</v>
      </c>
      <c r="L503">
        <v>99</v>
      </c>
      <c r="M503">
        <v>1</v>
      </c>
      <c r="N503">
        <v>12</v>
      </c>
      <c r="O503" s="2">
        <v>20833.54</v>
      </c>
      <c r="P503" s="2">
        <v>116.01</v>
      </c>
      <c r="Q503" s="2">
        <v>118.39</v>
      </c>
    </row>
    <row r="504" spans="1:17" x14ac:dyDescent="0.45">
      <c r="A504" s="1">
        <v>45261</v>
      </c>
      <c r="B504">
        <v>2024</v>
      </c>
      <c r="C504">
        <v>3</v>
      </c>
      <c r="D504" t="s">
        <v>18</v>
      </c>
      <c r="E504" s="2">
        <v>3881000</v>
      </c>
      <c r="F504" s="2">
        <v>347645.67</v>
      </c>
      <c r="G504" s="2">
        <v>289433.90999999997</v>
      </c>
      <c r="H504" s="2">
        <v>55185.2</v>
      </c>
      <c r="I504" s="2">
        <v>4643.79</v>
      </c>
      <c r="J504">
        <v>28</v>
      </c>
      <c r="K504">
        <v>1</v>
      </c>
      <c r="L504">
        <v>18</v>
      </c>
      <c r="M504">
        <v>0</v>
      </c>
      <c r="N504">
        <v>5</v>
      </c>
      <c r="O504" s="2">
        <v>3185.7</v>
      </c>
      <c r="P504" s="2">
        <v>101.09</v>
      </c>
      <c r="Q504" s="2">
        <v>110.69</v>
      </c>
    </row>
    <row r="505" spans="1:17" x14ac:dyDescent="0.45">
      <c r="A505" s="1">
        <v>45778</v>
      </c>
      <c r="B505">
        <v>2025</v>
      </c>
      <c r="C505">
        <v>8</v>
      </c>
      <c r="D505" t="s">
        <v>19</v>
      </c>
      <c r="E505" s="2">
        <v>5508000</v>
      </c>
      <c r="F505" s="2">
        <v>468055.41</v>
      </c>
      <c r="G505" s="2">
        <v>383960.54</v>
      </c>
      <c r="H505" s="2">
        <v>69084.86</v>
      </c>
      <c r="I505" s="2">
        <v>6138.22</v>
      </c>
      <c r="J505">
        <v>37</v>
      </c>
      <c r="K505">
        <v>4</v>
      </c>
      <c r="L505">
        <v>50</v>
      </c>
      <c r="M505">
        <v>1</v>
      </c>
      <c r="N505">
        <v>12</v>
      </c>
      <c r="O505" s="2">
        <v>14218.04</v>
      </c>
      <c r="P505" s="2">
        <v>114.73</v>
      </c>
      <c r="Q505" s="2">
        <v>116.34</v>
      </c>
    </row>
    <row r="506" spans="1:17" x14ac:dyDescent="0.45">
      <c r="A506" s="1">
        <v>44501</v>
      </c>
      <c r="B506">
        <v>2022</v>
      </c>
      <c r="C506">
        <v>2</v>
      </c>
      <c r="D506" t="s">
        <v>23</v>
      </c>
      <c r="E506" s="2">
        <v>19665000</v>
      </c>
      <c r="F506" s="2">
        <v>2170946.33</v>
      </c>
      <c r="G506" s="2">
        <v>769673.64</v>
      </c>
      <c r="H506" s="2">
        <v>919227.39</v>
      </c>
      <c r="I506" s="2">
        <v>454532.57</v>
      </c>
      <c r="J506">
        <v>96</v>
      </c>
      <c r="K506">
        <v>6</v>
      </c>
      <c r="L506">
        <v>455</v>
      </c>
      <c r="M506">
        <v>5</v>
      </c>
      <c r="N506">
        <v>24</v>
      </c>
      <c r="O506" s="2">
        <v>178964.2</v>
      </c>
      <c r="P506" s="2">
        <v>110.78</v>
      </c>
      <c r="Q506" s="2">
        <v>103.15</v>
      </c>
    </row>
    <row r="507" spans="1:17" x14ac:dyDescent="0.45">
      <c r="A507" s="1">
        <v>45444</v>
      </c>
      <c r="B507">
        <v>2024</v>
      </c>
      <c r="C507">
        <v>9</v>
      </c>
      <c r="D507" t="s">
        <v>19</v>
      </c>
      <c r="E507" s="2">
        <v>5322000</v>
      </c>
      <c r="F507" s="2">
        <v>431513.48</v>
      </c>
      <c r="G507" s="2">
        <v>368918.43</v>
      </c>
      <c r="H507" s="2">
        <v>67646.240000000005</v>
      </c>
      <c r="I507" s="2">
        <v>4037.96</v>
      </c>
      <c r="J507">
        <v>36</v>
      </c>
      <c r="L507">
        <v>11</v>
      </c>
      <c r="M507">
        <v>2</v>
      </c>
      <c r="N507">
        <v>9</v>
      </c>
      <c r="O507" s="2">
        <v>29160.23</v>
      </c>
      <c r="P507" s="2">
        <v>100.73</v>
      </c>
      <c r="Q507" s="2">
        <v>112.95</v>
      </c>
    </row>
    <row r="508" spans="1:17" x14ac:dyDescent="0.45">
      <c r="A508" s="1">
        <v>45474</v>
      </c>
      <c r="B508">
        <v>2024</v>
      </c>
      <c r="C508">
        <v>10</v>
      </c>
      <c r="D508" t="s">
        <v>25</v>
      </c>
      <c r="E508" s="2">
        <v>4657000</v>
      </c>
      <c r="F508" s="2">
        <v>408081.74</v>
      </c>
      <c r="G508" s="2">
        <v>333636.67</v>
      </c>
      <c r="H508" s="2">
        <v>66569.94</v>
      </c>
      <c r="I508" s="2">
        <v>10235.81</v>
      </c>
      <c r="J508">
        <v>33</v>
      </c>
      <c r="K508">
        <v>3</v>
      </c>
      <c r="L508">
        <v>48</v>
      </c>
      <c r="M508">
        <v>1</v>
      </c>
      <c r="N508">
        <v>13</v>
      </c>
      <c r="O508" s="2">
        <v>15591.43</v>
      </c>
      <c r="P508" s="2">
        <v>105.83</v>
      </c>
      <c r="Q508" s="2">
        <v>113.03</v>
      </c>
    </row>
    <row r="509" spans="1:17" x14ac:dyDescent="0.45">
      <c r="A509" s="1">
        <v>45962</v>
      </c>
      <c r="B509">
        <v>2026</v>
      </c>
      <c r="C509">
        <v>2</v>
      </c>
      <c r="D509" t="s">
        <v>17</v>
      </c>
      <c r="E509" s="2">
        <v>8670000</v>
      </c>
      <c r="F509" s="2">
        <v>725370.66</v>
      </c>
      <c r="G509" s="2">
        <v>387377.84</v>
      </c>
      <c r="H509" s="2">
        <v>296459.94</v>
      </c>
      <c r="I509" s="2">
        <v>25795.99</v>
      </c>
      <c r="J509">
        <v>46</v>
      </c>
      <c r="K509">
        <v>4</v>
      </c>
      <c r="L509">
        <v>67</v>
      </c>
      <c r="M509">
        <v>4</v>
      </c>
      <c r="N509">
        <v>17</v>
      </c>
      <c r="O509" s="2">
        <v>110308.01</v>
      </c>
      <c r="P509" s="2">
        <v>120.77</v>
      </c>
      <c r="Q509" s="2">
        <v>119.12</v>
      </c>
    </row>
    <row r="510" spans="1:17" x14ac:dyDescent="0.45">
      <c r="A510" s="1">
        <v>44562</v>
      </c>
      <c r="B510">
        <v>2022</v>
      </c>
      <c r="C510">
        <v>4</v>
      </c>
      <c r="D510" t="s">
        <v>28</v>
      </c>
      <c r="E510" s="2">
        <v>22770000</v>
      </c>
      <c r="F510" s="2">
        <v>1835147.77</v>
      </c>
      <c r="G510" s="2">
        <v>1565826.78</v>
      </c>
      <c r="H510" s="2">
        <v>371775.64</v>
      </c>
      <c r="I510" s="2">
        <v>18492.689999999999</v>
      </c>
      <c r="J510">
        <v>176</v>
      </c>
      <c r="K510">
        <v>10</v>
      </c>
      <c r="L510">
        <v>577</v>
      </c>
      <c r="M510">
        <v>9</v>
      </c>
      <c r="N510">
        <v>30</v>
      </c>
      <c r="O510" s="2">
        <v>441327.15</v>
      </c>
      <c r="P510" s="2">
        <v>112.02</v>
      </c>
      <c r="Q510" s="2">
        <v>102.96</v>
      </c>
    </row>
    <row r="511" spans="1:17" x14ac:dyDescent="0.45">
      <c r="A511" s="1">
        <v>45870</v>
      </c>
      <c r="B511">
        <v>2025</v>
      </c>
      <c r="C511">
        <v>11</v>
      </c>
      <c r="D511" t="s">
        <v>18</v>
      </c>
      <c r="E511" s="2">
        <v>4016000</v>
      </c>
      <c r="F511" s="2">
        <v>346457.38</v>
      </c>
      <c r="G511" s="2">
        <v>296291.33</v>
      </c>
      <c r="H511" s="2">
        <v>46188.39</v>
      </c>
      <c r="I511" s="2">
        <v>3076.82</v>
      </c>
      <c r="J511">
        <v>29</v>
      </c>
      <c r="K511">
        <v>5</v>
      </c>
      <c r="L511">
        <v>0</v>
      </c>
      <c r="M511">
        <v>4</v>
      </c>
      <c r="N511">
        <v>17</v>
      </c>
      <c r="O511" s="2">
        <v>36104.58</v>
      </c>
      <c r="P511" s="2">
        <v>120.44</v>
      </c>
      <c r="Q511" s="2">
        <v>117.53</v>
      </c>
    </row>
    <row r="512" spans="1:17" x14ac:dyDescent="0.45">
      <c r="A512" s="1">
        <v>44593</v>
      </c>
      <c r="B512">
        <v>2022</v>
      </c>
      <c r="C512">
        <v>5</v>
      </c>
      <c r="D512" t="s">
        <v>17</v>
      </c>
      <c r="E512" s="2">
        <v>7555000</v>
      </c>
      <c r="F512" s="2">
        <v>561052.18000000005</v>
      </c>
      <c r="G512" s="2">
        <v>328737.86</v>
      </c>
      <c r="H512" s="2">
        <v>214478.73</v>
      </c>
      <c r="I512" s="2">
        <v>14396.54</v>
      </c>
      <c r="J512">
        <v>43</v>
      </c>
      <c r="K512">
        <v>5</v>
      </c>
      <c r="L512">
        <v>54</v>
      </c>
      <c r="M512">
        <v>4</v>
      </c>
      <c r="N512">
        <v>12</v>
      </c>
      <c r="O512" s="2"/>
      <c r="P512" s="2">
        <v>111.33</v>
      </c>
      <c r="Q512" s="2">
        <v>104.35</v>
      </c>
    </row>
    <row r="513" spans="1:17" x14ac:dyDescent="0.45">
      <c r="A513" s="1">
        <v>45778</v>
      </c>
      <c r="B513">
        <v>2025</v>
      </c>
      <c r="C513">
        <v>8</v>
      </c>
      <c r="D513" t="s">
        <v>25</v>
      </c>
      <c r="E513" s="2">
        <v>4820000</v>
      </c>
      <c r="F513" s="2">
        <v>403761.09</v>
      </c>
      <c r="G513" s="2">
        <v>327567.95</v>
      </c>
      <c r="H513" s="2">
        <v>68108.66</v>
      </c>
      <c r="I513" s="2">
        <v>2972.73</v>
      </c>
      <c r="J513">
        <v>34</v>
      </c>
      <c r="K513">
        <v>3</v>
      </c>
      <c r="L513">
        <v>43</v>
      </c>
      <c r="M513">
        <v>0</v>
      </c>
      <c r="N513">
        <v>10</v>
      </c>
      <c r="O513" s="2">
        <v>6111.54</v>
      </c>
      <c r="P513" s="2">
        <v>114.11</v>
      </c>
      <c r="Q513" s="2">
        <v>116.22</v>
      </c>
    </row>
    <row r="514" spans="1:17" x14ac:dyDescent="0.45">
      <c r="A514" s="1">
        <v>44986</v>
      </c>
      <c r="B514">
        <v>2023</v>
      </c>
      <c r="C514">
        <v>6</v>
      </c>
      <c r="D514" t="s">
        <v>27</v>
      </c>
      <c r="E514" s="2">
        <v>26781000</v>
      </c>
      <c r="F514" s="2">
        <v>2208167.06</v>
      </c>
      <c r="G514" s="2">
        <v>1737134.62</v>
      </c>
      <c r="H514" s="2">
        <v>420468.87</v>
      </c>
      <c r="I514" s="2">
        <v>38704.089999999997</v>
      </c>
      <c r="J514">
        <v>212</v>
      </c>
      <c r="K514">
        <v>16</v>
      </c>
      <c r="L514">
        <v>758</v>
      </c>
      <c r="M514">
        <v>9</v>
      </c>
      <c r="N514">
        <v>33</v>
      </c>
      <c r="O514" s="2">
        <v>695425.28</v>
      </c>
      <c r="P514" s="2">
        <v>108.06</v>
      </c>
      <c r="Q514" s="2">
        <v>108.81</v>
      </c>
    </row>
    <row r="515" spans="1:17" x14ac:dyDescent="0.45">
      <c r="A515" s="1">
        <v>44317</v>
      </c>
      <c r="B515">
        <v>2021</v>
      </c>
      <c r="C515">
        <v>8</v>
      </c>
      <c r="D515" t="s">
        <v>24</v>
      </c>
      <c r="E515" s="2">
        <v>13500000</v>
      </c>
      <c r="F515" s="2">
        <v>1115555.1299999999</v>
      </c>
      <c r="G515" s="2">
        <v>500961.73</v>
      </c>
      <c r="H515" s="2">
        <v>524845.75</v>
      </c>
      <c r="I515" s="2">
        <v>69335.47</v>
      </c>
      <c r="J515">
        <v>75</v>
      </c>
      <c r="K515">
        <v>7</v>
      </c>
      <c r="L515">
        <v>110</v>
      </c>
      <c r="M515">
        <v>4</v>
      </c>
      <c r="N515">
        <v>20</v>
      </c>
      <c r="O515" s="2">
        <v>158393.09</v>
      </c>
      <c r="P515" s="2">
        <v>102.91</v>
      </c>
      <c r="Q515" s="2">
        <v>101.43</v>
      </c>
    </row>
    <row r="516" spans="1:17" x14ac:dyDescent="0.45">
      <c r="A516" s="1">
        <v>45231</v>
      </c>
      <c r="B516">
        <v>2024</v>
      </c>
      <c r="C516">
        <v>2</v>
      </c>
      <c r="D516" t="s">
        <v>28</v>
      </c>
      <c r="E516" s="2">
        <v>24392000</v>
      </c>
      <c r="F516" s="2">
        <v>2226058.23</v>
      </c>
      <c r="G516" s="2">
        <v>1625756.56</v>
      </c>
      <c r="H516" s="2">
        <v>450124.15</v>
      </c>
      <c r="I516" s="2">
        <v>290771.3</v>
      </c>
      <c r="J516">
        <v>181</v>
      </c>
      <c r="K516">
        <v>14</v>
      </c>
      <c r="L516">
        <v>677</v>
      </c>
      <c r="M516">
        <v>7</v>
      </c>
      <c r="N516">
        <v>30</v>
      </c>
      <c r="O516" s="2">
        <v>532698.46</v>
      </c>
      <c r="P516" s="2">
        <v>103.73</v>
      </c>
      <c r="Q516" s="2">
        <v>110.57</v>
      </c>
    </row>
    <row r="517" spans="1:17" x14ac:dyDescent="0.45">
      <c r="A517" s="1">
        <v>44440</v>
      </c>
      <c r="B517">
        <v>2021</v>
      </c>
      <c r="C517">
        <v>12</v>
      </c>
      <c r="D517" t="s">
        <v>25</v>
      </c>
      <c r="E517" s="2">
        <v>4200000</v>
      </c>
      <c r="F517" s="2">
        <v>344541.59</v>
      </c>
      <c r="G517" s="2">
        <v>267208.81</v>
      </c>
      <c r="H517" s="2">
        <v>66907.570000000007</v>
      </c>
      <c r="I517" s="2">
        <v>6932.42</v>
      </c>
      <c r="J517">
        <v>31</v>
      </c>
      <c r="K517">
        <v>5</v>
      </c>
      <c r="L517">
        <v>22</v>
      </c>
      <c r="M517">
        <v>1</v>
      </c>
      <c r="N517">
        <v>7</v>
      </c>
      <c r="O517" s="2">
        <v>9833.0400000000009</v>
      </c>
      <c r="P517" s="2">
        <v>108.34</v>
      </c>
      <c r="Q517" s="2">
        <v>102.4</v>
      </c>
    </row>
    <row r="518" spans="1:17" x14ac:dyDescent="0.45">
      <c r="A518" s="1">
        <v>45170</v>
      </c>
      <c r="B518">
        <v>2023</v>
      </c>
      <c r="C518">
        <v>12</v>
      </c>
      <c r="D518" t="s">
        <v>19</v>
      </c>
      <c r="E518" s="2">
        <v>5142000</v>
      </c>
      <c r="F518" s="2">
        <v>451872.78</v>
      </c>
      <c r="G518" s="2">
        <v>389575.01</v>
      </c>
      <c r="H518" s="2">
        <v>67673.25</v>
      </c>
      <c r="I518" s="2">
        <v>3481.75</v>
      </c>
      <c r="J518">
        <v>39</v>
      </c>
      <c r="K518">
        <v>4</v>
      </c>
      <c r="L518">
        <v>58</v>
      </c>
      <c r="M518">
        <v>2</v>
      </c>
      <c r="N518">
        <v>16</v>
      </c>
      <c r="O518" s="2">
        <v>27047.82</v>
      </c>
      <c r="P518" s="2">
        <v>102.75</v>
      </c>
      <c r="Q518" s="2">
        <v>109.59</v>
      </c>
    </row>
    <row r="519" spans="1:17" x14ac:dyDescent="0.45">
      <c r="A519" s="1">
        <v>45292</v>
      </c>
      <c r="B519">
        <v>2024</v>
      </c>
      <c r="C519">
        <v>4</v>
      </c>
      <c r="D519" t="s">
        <v>22</v>
      </c>
      <c r="E519" s="2">
        <v>6874000</v>
      </c>
      <c r="F519" s="2">
        <v>534775.79</v>
      </c>
      <c r="G519" s="2">
        <v>297468.59999999998</v>
      </c>
      <c r="H519" s="2">
        <v>210201.49</v>
      </c>
      <c r="I519" s="2">
        <v>27365.01</v>
      </c>
      <c r="J519">
        <v>32</v>
      </c>
      <c r="K519">
        <v>1</v>
      </c>
      <c r="L519">
        <v>36</v>
      </c>
      <c r="M519">
        <v>3</v>
      </c>
      <c r="N519">
        <v>13</v>
      </c>
      <c r="O519" s="2">
        <v>36034.83</v>
      </c>
      <c r="P519" s="2">
        <v>99.87</v>
      </c>
      <c r="Q519" s="2">
        <v>111.03</v>
      </c>
    </row>
    <row r="520" spans="1:17" x14ac:dyDescent="0.45">
      <c r="A520" s="1">
        <v>45748</v>
      </c>
      <c r="B520">
        <v>2025</v>
      </c>
      <c r="C520">
        <v>7</v>
      </c>
      <c r="D520" t="s">
        <v>22</v>
      </c>
      <c r="E520" s="2">
        <v>7115000</v>
      </c>
      <c r="F520" s="2">
        <v>640305.96</v>
      </c>
      <c r="G520" s="2">
        <v>323165.46000000002</v>
      </c>
      <c r="H520" s="2">
        <v>264490.81</v>
      </c>
      <c r="I520" s="2">
        <v>39724.550000000003</v>
      </c>
      <c r="J520">
        <v>31</v>
      </c>
      <c r="K520">
        <v>3</v>
      </c>
      <c r="L520">
        <v>53</v>
      </c>
      <c r="M520">
        <v>2</v>
      </c>
      <c r="N520">
        <v>15</v>
      </c>
      <c r="O520" s="2">
        <v>30716.38</v>
      </c>
      <c r="P520" s="2">
        <v>117.47</v>
      </c>
      <c r="Q520" s="2">
        <v>115.97</v>
      </c>
    </row>
    <row r="521" spans="1:17" x14ac:dyDescent="0.45">
      <c r="A521" s="1">
        <v>44652</v>
      </c>
      <c r="B521">
        <v>2022</v>
      </c>
      <c r="C521">
        <v>7</v>
      </c>
      <c r="D521" t="s">
        <v>17</v>
      </c>
      <c r="E521" s="2">
        <v>7555000</v>
      </c>
      <c r="F521" s="2">
        <v>612110.09</v>
      </c>
      <c r="G521" s="2">
        <v>333201.84000000003</v>
      </c>
      <c r="H521" s="2">
        <v>258816.8</v>
      </c>
      <c r="I521" s="2">
        <v>35614.69</v>
      </c>
      <c r="J521">
        <v>45</v>
      </c>
      <c r="K521">
        <v>4</v>
      </c>
      <c r="L521">
        <v>70</v>
      </c>
      <c r="M521">
        <v>0</v>
      </c>
      <c r="N521">
        <v>14</v>
      </c>
      <c r="O521" s="2">
        <v>15972.9</v>
      </c>
      <c r="P521" s="2">
        <v>107.25</v>
      </c>
      <c r="Q521" s="2">
        <v>105.23</v>
      </c>
    </row>
    <row r="522" spans="1:17" x14ac:dyDescent="0.45">
      <c r="A522" s="1">
        <v>45536</v>
      </c>
      <c r="B522">
        <v>2024</v>
      </c>
      <c r="C522">
        <v>12</v>
      </c>
      <c r="D522" t="s">
        <v>18</v>
      </c>
      <c r="E522" s="2">
        <v>3881000</v>
      </c>
      <c r="F522" s="2">
        <v>349076.52</v>
      </c>
      <c r="G522" s="2">
        <v>297399.94</v>
      </c>
      <c r="H522" s="2">
        <v>45460.21</v>
      </c>
      <c r="I522" s="2">
        <v>4811.68</v>
      </c>
      <c r="J522">
        <v>28</v>
      </c>
      <c r="K522">
        <v>1</v>
      </c>
      <c r="L522">
        <v>63</v>
      </c>
      <c r="M522">
        <v>0</v>
      </c>
      <c r="N522">
        <v>11</v>
      </c>
      <c r="O522" s="2">
        <v>5602.4</v>
      </c>
      <c r="P522" s="2">
        <v>106.29</v>
      </c>
      <c r="Q522" s="2">
        <v>114.48</v>
      </c>
    </row>
    <row r="523" spans="1:17" x14ac:dyDescent="0.45">
      <c r="A523" s="1">
        <v>45962</v>
      </c>
      <c r="B523">
        <v>2026</v>
      </c>
      <c r="C523">
        <v>2</v>
      </c>
      <c r="D523" t="s">
        <v>28</v>
      </c>
      <c r="E523" s="2">
        <v>26129000</v>
      </c>
      <c r="F523" s="2">
        <v>2420633.3199999998</v>
      </c>
      <c r="G523" s="2">
        <v>1838205.56</v>
      </c>
      <c r="H523" s="2">
        <v>517916.65</v>
      </c>
      <c r="I523" s="2">
        <v>33667.64</v>
      </c>
      <c r="J523">
        <v>184</v>
      </c>
      <c r="K523">
        <v>10</v>
      </c>
      <c r="L523">
        <v>835</v>
      </c>
      <c r="M523">
        <v>6</v>
      </c>
      <c r="N523">
        <v>31</v>
      </c>
      <c r="O523" s="2">
        <v>302136.09000000003</v>
      </c>
      <c r="P523" s="2">
        <v>118.61</v>
      </c>
      <c r="Q523" s="2">
        <v>118.45</v>
      </c>
    </row>
    <row r="524" spans="1:17" x14ac:dyDescent="0.45">
      <c r="A524" s="1">
        <v>44470</v>
      </c>
      <c r="B524">
        <v>2022</v>
      </c>
      <c r="C524">
        <v>1</v>
      </c>
      <c r="D524" t="s">
        <v>20</v>
      </c>
      <c r="E524" s="2">
        <v>13972000</v>
      </c>
      <c r="F524" s="2">
        <v>1247304.26</v>
      </c>
      <c r="G524" s="2">
        <v>594112.86</v>
      </c>
      <c r="H524" s="2">
        <v>652290.44999999995</v>
      </c>
      <c r="I524" s="2">
        <v>41946.55</v>
      </c>
      <c r="J524">
        <v>80</v>
      </c>
      <c r="K524">
        <v>6</v>
      </c>
      <c r="L524">
        <v>123</v>
      </c>
      <c r="M524">
        <v>7</v>
      </c>
      <c r="N524">
        <v>25</v>
      </c>
      <c r="O524" s="2">
        <v>195338.74</v>
      </c>
      <c r="P524" s="2">
        <v>109.73</v>
      </c>
      <c r="Q524" s="2">
        <v>102.39</v>
      </c>
    </row>
    <row r="525" spans="1:17" x14ac:dyDescent="0.45">
      <c r="A525" s="1">
        <v>44835</v>
      </c>
      <c r="B525">
        <v>2023</v>
      </c>
      <c r="C525">
        <v>1</v>
      </c>
      <c r="D525" t="s">
        <v>20</v>
      </c>
      <c r="E525" s="2">
        <v>14462000</v>
      </c>
      <c r="F525" s="2">
        <v>1445655.28</v>
      </c>
      <c r="G525" s="2">
        <v>611709.42000000004</v>
      </c>
      <c r="H525" s="2">
        <v>565244.41</v>
      </c>
      <c r="I525" s="2">
        <v>254721.23</v>
      </c>
      <c r="J525">
        <v>82</v>
      </c>
      <c r="K525">
        <v>7</v>
      </c>
      <c r="L525">
        <v>105</v>
      </c>
      <c r="M525">
        <v>3</v>
      </c>
      <c r="N525">
        <v>22</v>
      </c>
      <c r="O525" s="2">
        <v>159213.54</v>
      </c>
      <c r="P525" s="2">
        <v>108.55</v>
      </c>
      <c r="Q525" s="2">
        <v>105.81</v>
      </c>
    </row>
    <row r="526" spans="1:17" x14ac:dyDescent="0.45">
      <c r="A526" s="1">
        <v>45748</v>
      </c>
      <c r="B526">
        <v>2025</v>
      </c>
      <c r="C526">
        <v>7</v>
      </c>
      <c r="D526" t="s">
        <v>28</v>
      </c>
      <c r="E526" s="2">
        <v>25246000</v>
      </c>
      <c r="F526" s="2">
        <v>2229628.98</v>
      </c>
      <c r="G526" s="2">
        <v>1752132.85</v>
      </c>
      <c r="H526" s="2">
        <v>326682.59000000003</v>
      </c>
      <c r="I526" s="2">
        <v>37618.36</v>
      </c>
      <c r="J526">
        <v>187</v>
      </c>
      <c r="K526">
        <v>12</v>
      </c>
      <c r="L526">
        <v>856</v>
      </c>
      <c r="M526">
        <v>6</v>
      </c>
      <c r="N526">
        <v>31</v>
      </c>
      <c r="O526" s="2">
        <v>386060.01</v>
      </c>
      <c r="P526" s="2">
        <v>111.96</v>
      </c>
      <c r="Q526" s="2">
        <v>116.76</v>
      </c>
    </row>
    <row r="527" spans="1:17" x14ac:dyDescent="0.45">
      <c r="A527" s="1">
        <v>45292</v>
      </c>
      <c r="B527">
        <v>2024</v>
      </c>
      <c r="C527">
        <v>4</v>
      </c>
      <c r="D527" t="s">
        <v>19</v>
      </c>
      <c r="E527" s="2">
        <v>5322000</v>
      </c>
      <c r="F527" s="2">
        <v>460847.16</v>
      </c>
      <c r="G527" s="2">
        <v>397500.8</v>
      </c>
      <c r="H527" s="2">
        <v>60034.51</v>
      </c>
      <c r="I527" s="2">
        <v>4472.53</v>
      </c>
      <c r="J527">
        <v>39</v>
      </c>
      <c r="K527">
        <v>4</v>
      </c>
      <c r="L527">
        <v>78</v>
      </c>
      <c r="M527">
        <v>4</v>
      </c>
      <c r="N527">
        <v>15</v>
      </c>
      <c r="O527" s="2">
        <v>55648.85</v>
      </c>
      <c r="P527" s="2">
        <v>101.58</v>
      </c>
      <c r="Q527" s="2">
        <v>111.3</v>
      </c>
    </row>
    <row r="528" spans="1:17" x14ac:dyDescent="0.45">
      <c r="A528" s="1">
        <v>45139</v>
      </c>
      <c r="B528">
        <v>2023</v>
      </c>
      <c r="C528">
        <v>11</v>
      </c>
      <c r="D528" t="s">
        <v>23</v>
      </c>
      <c r="E528" s="2">
        <v>20353000</v>
      </c>
      <c r="F528" s="2">
        <v>1445480.11</v>
      </c>
      <c r="G528" s="2">
        <v>773955.25</v>
      </c>
      <c r="H528" s="2">
        <v>681451.99</v>
      </c>
      <c r="I528" s="2">
        <v>81264.929999999993</v>
      </c>
      <c r="J528">
        <v>96</v>
      </c>
      <c r="K528">
        <v>5</v>
      </c>
      <c r="L528">
        <v>587</v>
      </c>
      <c r="M528">
        <v>5</v>
      </c>
      <c r="N528">
        <v>31</v>
      </c>
      <c r="O528" s="2">
        <v>234089.88</v>
      </c>
      <c r="P528" s="2">
        <v>100.08</v>
      </c>
      <c r="Q528" s="2">
        <v>109.62</v>
      </c>
    </row>
    <row r="529" spans="1:17" x14ac:dyDescent="0.45">
      <c r="A529" s="1">
        <v>45170</v>
      </c>
      <c r="B529">
        <v>2023</v>
      </c>
      <c r="C529">
        <v>12</v>
      </c>
      <c r="D529" t="s">
        <v>26</v>
      </c>
      <c r="E529" s="2">
        <v>8570000</v>
      </c>
      <c r="F529" s="2">
        <v>691457.75</v>
      </c>
      <c r="G529" s="2">
        <v>456638.43</v>
      </c>
      <c r="H529" s="2">
        <v>214280.92</v>
      </c>
      <c r="I529" s="2">
        <v>22636.28</v>
      </c>
      <c r="J529">
        <v>65</v>
      </c>
      <c r="K529">
        <v>6</v>
      </c>
      <c r="L529">
        <v>45</v>
      </c>
      <c r="M529">
        <v>1</v>
      </c>
      <c r="N529">
        <v>15</v>
      </c>
      <c r="O529" s="2">
        <v>34843.279999999999</v>
      </c>
      <c r="P529" s="2">
        <v>102.66</v>
      </c>
      <c r="Q529" s="2">
        <v>109.58</v>
      </c>
    </row>
    <row r="530" spans="1:17" x14ac:dyDescent="0.45">
      <c r="A530" s="1">
        <v>44317</v>
      </c>
      <c r="B530">
        <v>2021</v>
      </c>
      <c r="C530">
        <v>8</v>
      </c>
      <c r="D530" t="s">
        <v>22</v>
      </c>
      <c r="E530" s="2">
        <v>6200000</v>
      </c>
      <c r="F530" s="2">
        <v>471657.61</v>
      </c>
      <c r="G530" s="2">
        <v>248037.72</v>
      </c>
      <c r="H530" s="2">
        <v>202386.48</v>
      </c>
      <c r="I530" s="2">
        <v>36996.04</v>
      </c>
      <c r="J530">
        <v>30</v>
      </c>
      <c r="K530">
        <v>0</v>
      </c>
      <c r="L530">
        <v>13</v>
      </c>
      <c r="M530">
        <v>2</v>
      </c>
      <c r="N530">
        <v>12</v>
      </c>
      <c r="O530" s="2">
        <v>29560.12</v>
      </c>
      <c r="P530" s="2">
        <v>104.18</v>
      </c>
      <c r="Q530" s="2">
        <v>100.77</v>
      </c>
    </row>
    <row r="531" spans="1:17" x14ac:dyDescent="0.45">
      <c r="A531" s="1">
        <v>45078</v>
      </c>
      <c r="B531">
        <v>2023</v>
      </c>
      <c r="C531">
        <v>9</v>
      </c>
      <c r="D531" t="s">
        <v>18</v>
      </c>
      <c r="E531" s="2">
        <v>3749000</v>
      </c>
      <c r="F531" s="2">
        <v>338997.75</v>
      </c>
      <c r="G531" s="2">
        <v>286049.49</v>
      </c>
      <c r="H531" s="2">
        <v>42099.24</v>
      </c>
      <c r="I531" s="2">
        <v>6253.18</v>
      </c>
      <c r="J531">
        <v>29</v>
      </c>
      <c r="K531">
        <v>2</v>
      </c>
      <c r="L531">
        <v>30</v>
      </c>
      <c r="M531">
        <v>2</v>
      </c>
      <c r="N531">
        <v>3</v>
      </c>
      <c r="O531" s="2">
        <v>14154.46</v>
      </c>
      <c r="P531" s="2">
        <v>101.32</v>
      </c>
      <c r="Q531" s="2">
        <v>108.73</v>
      </c>
    </row>
    <row r="532" spans="1:17" x14ac:dyDescent="0.45">
      <c r="A532" s="1">
        <v>45839</v>
      </c>
      <c r="B532">
        <v>2025</v>
      </c>
      <c r="C532">
        <v>10</v>
      </c>
      <c r="D532" t="s">
        <v>28</v>
      </c>
      <c r="E532" s="2">
        <v>25246000</v>
      </c>
      <c r="F532" s="2">
        <v>2254536.87</v>
      </c>
      <c r="G532" s="2">
        <v>1830179.63</v>
      </c>
      <c r="H532" s="2">
        <v>389855.65</v>
      </c>
      <c r="I532" s="2">
        <v>71586.45</v>
      </c>
      <c r="J532">
        <v>188</v>
      </c>
      <c r="K532">
        <v>16</v>
      </c>
      <c r="L532">
        <v>952</v>
      </c>
      <c r="M532">
        <v>7</v>
      </c>
      <c r="N532">
        <v>36</v>
      </c>
      <c r="O532" s="2">
        <v>566486.4</v>
      </c>
      <c r="P532" s="2">
        <v>115.66</v>
      </c>
      <c r="Q532" s="2">
        <v>117.57</v>
      </c>
    </row>
    <row r="533" spans="1:17" x14ac:dyDescent="0.45">
      <c r="A533" s="1">
        <v>44562</v>
      </c>
      <c r="B533">
        <v>2022</v>
      </c>
      <c r="C533">
        <v>4</v>
      </c>
      <c r="D533" t="s">
        <v>18</v>
      </c>
      <c r="E533" s="2">
        <v>3622000</v>
      </c>
      <c r="F533" s="2">
        <v>297135.25</v>
      </c>
      <c r="G533" s="2">
        <v>253950.17</v>
      </c>
      <c r="H533" s="2">
        <v>39133.06</v>
      </c>
      <c r="I533" s="2">
        <v>2919.94</v>
      </c>
      <c r="J533">
        <v>27</v>
      </c>
      <c r="K533">
        <v>0</v>
      </c>
      <c r="L533">
        <v>21</v>
      </c>
      <c r="M533">
        <v>1</v>
      </c>
      <c r="N533">
        <v>10</v>
      </c>
      <c r="O533" s="2">
        <v>12918.83</v>
      </c>
      <c r="P533" s="2">
        <v>111.96</v>
      </c>
      <c r="Q533" s="2">
        <v>102.96</v>
      </c>
    </row>
    <row r="534" spans="1:17" x14ac:dyDescent="0.45">
      <c r="A534" s="1">
        <v>44652</v>
      </c>
      <c r="B534">
        <v>2022</v>
      </c>
      <c r="C534">
        <v>7</v>
      </c>
      <c r="D534" t="s">
        <v>28</v>
      </c>
      <c r="E534" s="2">
        <v>22770000</v>
      </c>
      <c r="F534" s="2">
        <v>1881956.21</v>
      </c>
      <c r="G534" s="2">
        <v>1485322.06</v>
      </c>
      <c r="H534" s="2">
        <v>394308.6</v>
      </c>
      <c r="I534" s="2">
        <v>35315.730000000003</v>
      </c>
      <c r="J534">
        <v>175</v>
      </c>
      <c r="K534">
        <v>14</v>
      </c>
      <c r="L534">
        <v>555</v>
      </c>
      <c r="M534">
        <v>7</v>
      </c>
      <c r="N534">
        <v>22</v>
      </c>
      <c r="O534" s="2">
        <v>332553.53999999998</v>
      </c>
      <c r="P534" s="2">
        <v>110.02</v>
      </c>
      <c r="Q534" s="2">
        <v>105.07</v>
      </c>
    </row>
    <row r="535" spans="1:17" x14ac:dyDescent="0.45">
      <c r="A535" s="1">
        <v>44501</v>
      </c>
      <c r="B535">
        <v>2022</v>
      </c>
      <c r="C535">
        <v>2</v>
      </c>
      <c r="D535" t="s">
        <v>17</v>
      </c>
      <c r="E535" s="2">
        <v>7555000</v>
      </c>
      <c r="F535" s="2">
        <v>604843.38</v>
      </c>
      <c r="G535" s="2">
        <v>317773.11</v>
      </c>
      <c r="H535" s="2">
        <v>279266.75</v>
      </c>
      <c r="I535" s="2">
        <v>19064.310000000001</v>
      </c>
      <c r="J535">
        <v>43</v>
      </c>
      <c r="K535">
        <v>2</v>
      </c>
      <c r="L535">
        <v>18</v>
      </c>
      <c r="M535">
        <v>3</v>
      </c>
      <c r="N535">
        <v>18</v>
      </c>
      <c r="O535" s="2">
        <v>79068.570000000007</v>
      </c>
      <c r="P535" s="2">
        <v>108.41</v>
      </c>
      <c r="Q535" s="2">
        <v>102.55</v>
      </c>
    </row>
    <row r="536" spans="1:17" x14ac:dyDescent="0.45">
      <c r="A536" s="1">
        <v>44256</v>
      </c>
      <c r="B536">
        <v>2021</v>
      </c>
      <c r="C536">
        <v>6</v>
      </c>
      <c r="D536" t="s">
        <v>22</v>
      </c>
      <c r="E536" s="2">
        <v>6200000</v>
      </c>
      <c r="F536" s="2">
        <v>514824.89</v>
      </c>
      <c r="G536" s="2">
        <v>262756.33</v>
      </c>
      <c r="H536" s="2">
        <v>213031.19</v>
      </c>
      <c r="I536" s="2">
        <v>37075.25</v>
      </c>
      <c r="J536">
        <v>31</v>
      </c>
      <c r="K536">
        <v>1</v>
      </c>
      <c r="L536">
        <v>53</v>
      </c>
      <c r="M536">
        <v>2</v>
      </c>
      <c r="N536">
        <v>13</v>
      </c>
      <c r="O536" s="2">
        <v>34607.43</v>
      </c>
      <c r="P536" s="2">
        <v>101.26</v>
      </c>
      <c r="Q536" s="2">
        <v>101.11</v>
      </c>
    </row>
    <row r="537" spans="1:17" x14ac:dyDescent="0.45">
      <c r="A537" s="1">
        <v>45017</v>
      </c>
      <c r="B537">
        <v>2023</v>
      </c>
      <c r="C537">
        <v>7</v>
      </c>
      <c r="D537" t="s">
        <v>29</v>
      </c>
      <c r="E537" s="2">
        <v>23567000</v>
      </c>
      <c r="F537" s="2">
        <v>2005245.74</v>
      </c>
      <c r="G537" s="2">
        <v>1584375.01</v>
      </c>
      <c r="H537" s="2">
        <v>374396.21</v>
      </c>
      <c r="I537" s="2">
        <v>64691.66</v>
      </c>
      <c r="J537">
        <v>179</v>
      </c>
      <c r="K537">
        <v>14</v>
      </c>
      <c r="L537">
        <v>654</v>
      </c>
      <c r="M537">
        <v>10</v>
      </c>
      <c r="N537">
        <v>32</v>
      </c>
      <c r="O537" s="2">
        <v>612617.06999999995</v>
      </c>
      <c r="P537" s="2">
        <v>102.51</v>
      </c>
      <c r="Q537" s="2">
        <v>108.37</v>
      </c>
    </row>
    <row r="538" spans="1:17" x14ac:dyDescent="0.45">
      <c r="A538" s="1">
        <v>44866</v>
      </c>
      <c r="B538">
        <v>2023</v>
      </c>
      <c r="C538">
        <v>2</v>
      </c>
      <c r="D538" t="s">
        <v>22</v>
      </c>
      <c r="E538" s="2">
        <v>6642000</v>
      </c>
      <c r="F538" s="2">
        <v>709167.84</v>
      </c>
      <c r="G538" s="2">
        <v>276035.15000000002</v>
      </c>
      <c r="H538" s="2">
        <v>254077.67</v>
      </c>
      <c r="I538" s="2">
        <v>170246.28</v>
      </c>
      <c r="J538">
        <v>31</v>
      </c>
      <c r="K538">
        <v>1</v>
      </c>
      <c r="L538">
        <v>32</v>
      </c>
      <c r="M538">
        <v>3</v>
      </c>
      <c r="N538">
        <v>17</v>
      </c>
      <c r="O538" s="2">
        <v>50434.2</v>
      </c>
      <c r="P538" s="2">
        <v>109.72</v>
      </c>
      <c r="Q538" s="2">
        <v>107.45</v>
      </c>
    </row>
    <row r="539" spans="1:17" x14ac:dyDescent="0.45">
      <c r="A539" s="1">
        <v>45505</v>
      </c>
      <c r="B539">
        <v>2024</v>
      </c>
      <c r="C539">
        <v>11</v>
      </c>
      <c r="D539" t="s">
        <v>21</v>
      </c>
      <c r="E539" s="2">
        <v>8870000</v>
      </c>
      <c r="F539" s="2">
        <v>774363.81</v>
      </c>
      <c r="G539" s="2">
        <v>479320.97</v>
      </c>
      <c r="H539" s="2">
        <v>194970.17</v>
      </c>
      <c r="I539" s="2">
        <v>110510.28</v>
      </c>
      <c r="J539">
        <v>66</v>
      </c>
      <c r="K539">
        <v>3</v>
      </c>
      <c r="L539">
        <v>61</v>
      </c>
      <c r="M539">
        <v>3</v>
      </c>
      <c r="N539">
        <v>9</v>
      </c>
      <c r="O539" s="2">
        <v>63361.919999999998</v>
      </c>
      <c r="P539" s="2">
        <v>102.39</v>
      </c>
      <c r="Q539" s="2">
        <v>113.46</v>
      </c>
    </row>
    <row r="540" spans="1:17" x14ac:dyDescent="0.45">
      <c r="A540" s="1">
        <v>44470</v>
      </c>
      <c r="B540">
        <v>2022</v>
      </c>
      <c r="C540">
        <v>1</v>
      </c>
      <c r="D540" t="s">
        <v>18</v>
      </c>
      <c r="E540" s="2">
        <v>3622000</v>
      </c>
      <c r="F540" s="2">
        <v>310946.43</v>
      </c>
      <c r="G540" s="2">
        <v>255229.66</v>
      </c>
      <c r="H540" s="2">
        <v>43931.56</v>
      </c>
      <c r="I540" s="2">
        <v>6975.74</v>
      </c>
      <c r="J540">
        <v>27</v>
      </c>
      <c r="K540">
        <v>2</v>
      </c>
      <c r="L540">
        <v>28</v>
      </c>
      <c r="M540">
        <v>1</v>
      </c>
      <c r="N540">
        <v>6</v>
      </c>
      <c r="O540" s="2">
        <v>8715.27</v>
      </c>
      <c r="P540" s="2">
        <v>109.64</v>
      </c>
      <c r="Q540" s="2">
        <v>102.09</v>
      </c>
    </row>
    <row r="541" spans="1:17" x14ac:dyDescent="0.45">
      <c r="A541" s="1">
        <v>45931</v>
      </c>
      <c r="B541">
        <v>2026</v>
      </c>
      <c r="C541">
        <v>1</v>
      </c>
      <c r="D541" t="s">
        <v>27</v>
      </c>
      <c r="E541" s="2">
        <v>29692000</v>
      </c>
      <c r="F541" s="2">
        <v>2608336.79</v>
      </c>
      <c r="G541" s="2">
        <v>2036564.29</v>
      </c>
      <c r="H541" s="2">
        <v>444554.65</v>
      </c>
      <c r="I541" s="2">
        <v>27817.89</v>
      </c>
      <c r="J541">
        <v>223</v>
      </c>
      <c r="K541">
        <v>12</v>
      </c>
      <c r="L541">
        <v>960</v>
      </c>
      <c r="M541">
        <v>9</v>
      </c>
      <c r="N541">
        <v>39</v>
      </c>
      <c r="O541" s="2">
        <v>724632.19</v>
      </c>
      <c r="P541" s="2">
        <v>116.15</v>
      </c>
      <c r="Q541" s="2">
        <v>118.64</v>
      </c>
    </row>
    <row r="542" spans="1:17" x14ac:dyDescent="0.45">
      <c r="A542" s="1">
        <v>45108</v>
      </c>
      <c r="B542">
        <v>2023</v>
      </c>
      <c r="C542">
        <v>10</v>
      </c>
      <c r="D542" t="s">
        <v>17</v>
      </c>
      <c r="E542" s="2">
        <v>7820000</v>
      </c>
      <c r="F542" s="2">
        <v>585342.53</v>
      </c>
      <c r="G542" s="2">
        <v>320704.58</v>
      </c>
      <c r="H542" s="2">
        <v>232259.27</v>
      </c>
      <c r="I542" s="2">
        <v>41452.239999999998</v>
      </c>
      <c r="J542">
        <v>42</v>
      </c>
      <c r="K542">
        <v>2</v>
      </c>
      <c r="L542">
        <v>12</v>
      </c>
      <c r="M542">
        <v>2</v>
      </c>
      <c r="N542">
        <v>16</v>
      </c>
      <c r="O542" s="2">
        <v>61974.49</v>
      </c>
      <c r="P542" s="2">
        <v>100.88</v>
      </c>
      <c r="Q542" s="2">
        <v>109.1</v>
      </c>
    </row>
    <row r="543" spans="1:17" x14ac:dyDescent="0.45">
      <c r="A543" s="1">
        <v>45839</v>
      </c>
      <c r="B543">
        <v>2025</v>
      </c>
      <c r="C543">
        <v>10</v>
      </c>
      <c r="D543" t="s">
        <v>18</v>
      </c>
      <c r="E543" s="2">
        <v>4016000</v>
      </c>
      <c r="F543" s="2">
        <v>368523.8</v>
      </c>
      <c r="G543" s="2">
        <v>309861</v>
      </c>
      <c r="H543" s="2">
        <v>44580.11</v>
      </c>
      <c r="I543" s="2">
        <v>6912.05</v>
      </c>
      <c r="J543">
        <v>29</v>
      </c>
      <c r="K543">
        <v>2</v>
      </c>
      <c r="L543">
        <v>67</v>
      </c>
      <c r="M543">
        <v>0</v>
      </c>
      <c r="N543">
        <v>9</v>
      </c>
      <c r="O543" s="2">
        <v>4900.08</v>
      </c>
      <c r="P543" s="2">
        <v>117.97</v>
      </c>
      <c r="Q543" s="2">
        <v>116.93</v>
      </c>
    </row>
    <row r="544" spans="1:17" x14ac:dyDescent="0.45">
      <c r="A544" s="1">
        <v>45748</v>
      </c>
      <c r="B544">
        <v>2025</v>
      </c>
      <c r="C544">
        <v>7</v>
      </c>
      <c r="D544" t="s">
        <v>17</v>
      </c>
      <c r="E544" s="2">
        <v>8377000</v>
      </c>
      <c r="F544" s="2">
        <v>718272.75</v>
      </c>
      <c r="G544" s="2">
        <v>352963.87</v>
      </c>
      <c r="H544" s="2">
        <v>313545.98</v>
      </c>
      <c r="I544" s="2">
        <v>28072.29</v>
      </c>
      <c r="J544">
        <v>44</v>
      </c>
      <c r="K544">
        <v>3</v>
      </c>
      <c r="L544">
        <v>6</v>
      </c>
      <c r="M544">
        <v>5</v>
      </c>
      <c r="N544">
        <v>23</v>
      </c>
      <c r="O544" s="2">
        <v>112671.88</v>
      </c>
      <c r="P544" s="2">
        <v>112.01</v>
      </c>
      <c r="Q544" s="2">
        <v>116.77</v>
      </c>
    </row>
    <row r="545" spans="1:17" x14ac:dyDescent="0.45">
      <c r="A545" s="1">
        <v>44743</v>
      </c>
      <c r="B545">
        <v>2022</v>
      </c>
      <c r="C545">
        <v>10</v>
      </c>
      <c r="D545" t="s">
        <v>17</v>
      </c>
      <c r="E545" s="2">
        <v>7555000</v>
      </c>
      <c r="F545" s="2">
        <v>588846.23</v>
      </c>
      <c r="G545" s="2">
        <v>308067.75</v>
      </c>
      <c r="H545" s="2">
        <v>246891.59</v>
      </c>
      <c r="I545" s="2">
        <v>32752.17</v>
      </c>
      <c r="J545">
        <v>42</v>
      </c>
      <c r="K545">
        <v>3</v>
      </c>
      <c r="L545">
        <v>38</v>
      </c>
      <c r="M545">
        <v>0</v>
      </c>
      <c r="N545">
        <v>18</v>
      </c>
      <c r="O545" s="2">
        <v>17212.73</v>
      </c>
      <c r="P545" s="2">
        <v>106.6</v>
      </c>
      <c r="Q545" s="2">
        <v>105.09</v>
      </c>
    </row>
    <row r="546" spans="1:17" x14ac:dyDescent="0.45">
      <c r="A546" s="1">
        <v>45383</v>
      </c>
      <c r="B546">
        <v>2024</v>
      </c>
      <c r="C546">
        <v>7</v>
      </c>
      <c r="D546" t="s">
        <v>18</v>
      </c>
      <c r="E546" s="2">
        <v>3881000</v>
      </c>
      <c r="F546" s="2">
        <v>341546.23999999999</v>
      </c>
      <c r="G546" s="2">
        <v>272937.5</v>
      </c>
      <c r="H546" s="2">
        <v>45770.41</v>
      </c>
      <c r="I546" s="2">
        <v>22940.52</v>
      </c>
      <c r="J546">
        <v>28</v>
      </c>
      <c r="K546">
        <v>3</v>
      </c>
      <c r="M546">
        <v>3</v>
      </c>
      <c r="N546">
        <v>9</v>
      </c>
      <c r="O546" s="2">
        <v>30098.49</v>
      </c>
      <c r="P546" s="2">
        <v>98.35</v>
      </c>
      <c r="Q546" s="2">
        <v>112.43</v>
      </c>
    </row>
    <row r="547" spans="1:17" x14ac:dyDescent="0.45">
      <c r="A547" s="1">
        <v>44317</v>
      </c>
      <c r="B547">
        <v>2021</v>
      </c>
      <c r="C547">
        <v>8</v>
      </c>
      <c r="D547" t="s">
        <v>17</v>
      </c>
      <c r="E547" s="2">
        <v>7300000</v>
      </c>
      <c r="F547" s="2">
        <v>576701.78</v>
      </c>
      <c r="G547" s="2">
        <v>315668.21999999997</v>
      </c>
      <c r="H547" s="2">
        <v>212189.2</v>
      </c>
      <c r="I547" s="2">
        <v>10381.209999999999</v>
      </c>
      <c r="J547">
        <v>45</v>
      </c>
      <c r="K547">
        <v>2</v>
      </c>
      <c r="L547">
        <v>38</v>
      </c>
      <c r="M547">
        <v>2</v>
      </c>
      <c r="N547">
        <v>14</v>
      </c>
      <c r="O547" s="2">
        <v>49304.5</v>
      </c>
      <c r="P547" s="2">
        <v>105.21</v>
      </c>
      <c r="Q547" s="2">
        <v>100.77</v>
      </c>
    </row>
    <row r="548" spans="1:17" x14ac:dyDescent="0.45">
      <c r="A548" s="1">
        <v>45352</v>
      </c>
      <c r="B548">
        <v>2024</v>
      </c>
      <c r="C548">
        <v>6</v>
      </c>
      <c r="D548" t="s">
        <v>26</v>
      </c>
      <c r="E548" s="2">
        <v>8870000</v>
      </c>
      <c r="F548" s="2">
        <v>717587.17</v>
      </c>
      <c r="G548" s="2">
        <v>494519.43</v>
      </c>
      <c r="H548" s="2">
        <v>210510.88</v>
      </c>
      <c r="I548" s="2">
        <v>14472.08</v>
      </c>
      <c r="J548">
        <v>65</v>
      </c>
      <c r="K548">
        <v>4</v>
      </c>
      <c r="L548">
        <v>114</v>
      </c>
      <c r="M548">
        <v>0</v>
      </c>
      <c r="N548">
        <v>12</v>
      </c>
      <c r="O548" s="2">
        <v>19829.759999999998</v>
      </c>
      <c r="P548" s="2">
        <v>102.97</v>
      </c>
      <c r="Q548" s="2">
        <v>112.44</v>
      </c>
    </row>
    <row r="549" spans="1:17" x14ac:dyDescent="0.45">
      <c r="A549" s="1">
        <v>45231</v>
      </c>
      <c r="B549">
        <v>2024</v>
      </c>
      <c r="C549">
        <v>2</v>
      </c>
      <c r="D549" t="s">
        <v>24</v>
      </c>
      <c r="E549" s="2">
        <v>14968000</v>
      </c>
      <c r="F549" s="2">
        <v>1515774.07</v>
      </c>
      <c r="G549" s="2">
        <v>622883.73</v>
      </c>
      <c r="H549" s="2">
        <v>632230.71</v>
      </c>
      <c r="I549" s="2">
        <v>271619.96999999997</v>
      </c>
      <c r="J549">
        <v>79</v>
      </c>
      <c r="K549">
        <v>5</v>
      </c>
      <c r="L549">
        <v>118</v>
      </c>
      <c r="M549">
        <v>6</v>
      </c>
      <c r="N549">
        <v>28</v>
      </c>
      <c r="O549" s="2">
        <v>191299.84</v>
      </c>
      <c r="P549" s="2">
        <v>99.21</v>
      </c>
      <c r="Q549" s="2">
        <v>110.81</v>
      </c>
    </row>
    <row r="550" spans="1:17" x14ac:dyDescent="0.45">
      <c r="A550" s="1">
        <v>44896</v>
      </c>
      <c r="B550">
        <v>2023</v>
      </c>
      <c r="C550">
        <v>3</v>
      </c>
      <c r="D550" t="s">
        <v>18</v>
      </c>
      <c r="E550" s="2">
        <v>3749000</v>
      </c>
      <c r="F550" s="2">
        <v>322006.39</v>
      </c>
      <c r="G550" s="2">
        <v>266575.84999999998</v>
      </c>
      <c r="H550" s="2">
        <v>49912.35</v>
      </c>
      <c r="I550" s="2">
        <v>1792.96</v>
      </c>
      <c r="J550">
        <v>27</v>
      </c>
      <c r="K550">
        <v>2</v>
      </c>
      <c r="L550">
        <v>26</v>
      </c>
      <c r="M550">
        <v>0</v>
      </c>
      <c r="N550">
        <v>11</v>
      </c>
      <c r="O550" s="2">
        <v>5826.93</v>
      </c>
      <c r="P550" s="2">
        <v>106.07</v>
      </c>
      <c r="Q550" s="2">
        <v>106.83</v>
      </c>
    </row>
    <row r="551" spans="1:17" x14ac:dyDescent="0.45">
      <c r="A551" s="1">
        <v>45261</v>
      </c>
      <c r="B551">
        <v>2024</v>
      </c>
      <c r="C551">
        <v>3</v>
      </c>
      <c r="D551" t="s">
        <v>27</v>
      </c>
      <c r="E551" s="2">
        <v>27718000</v>
      </c>
      <c r="F551" s="2">
        <v>2508794.5</v>
      </c>
      <c r="G551" s="2">
        <v>1719465.23</v>
      </c>
      <c r="H551" s="2">
        <v>667655.91</v>
      </c>
      <c r="I551" s="2">
        <v>85933.82</v>
      </c>
      <c r="J551">
        <v>203</v>
      </c>
      <c r="K551">
        <v>15</v>
      </c>
      <c r="L551">
        <v>997</v>
      </c>
      <c r="M551">
        <v>11</v>
      </c>
      <c r="N551">
        <v>41</v>
      </c>
      <c r="O551" s="2">
        <v>916651.44</v>
      </c>
      <c r="P551" s="2">
        <v>100.62</v>
      </c>
      <c r="Q551" s="2">
        <v>110.83</v>
      </c>
    </row>
    <row r="552" spans="1:17" x14ac:dyDescent="0.45">
      <c r="A552" s="1">
        <v>44682</v>
      </c>
      <c r="B552">
        <v>2022</v>
      </c>
      <c r="C552">
        <v>8</v>
      </c>
      <c r="D552" t="s">
        <v>19</v>
      </c>
      <c r="E552" s="2">
        <v>4968000</v>
      </c>
      <c r="F552" s="2">
        <v>444998.59</v>
      </c>
      <c r="G552" s="2">
        <v>338505.31</v>
      </c>
      <c r="H552" s="2">
        <v>60971.53</v>
      </c>
      <c r="I552" s="2">
        <v>46051.56</v>
      </c>
      <c r="J552">
        <v>37</v>
      </c>
      <c r="K552">
        <v>4</v>
      </c>
      <c r="L552">
        <v>45</v>
      </c>
      <c r="M552">
        <v>5</v>
      </c>
      <c r="N552">
        <v>17</v>
      </c>
      <c r="O552" s="2">
        <v>71385.279999999999</v>
      </c>
      <c r="P552" s="2">
        <v>107.82</v>
      </c>
      <c r="Q552" s="2">
        <v>104.96</v>
      </c>
    </row>
    <row r="553" spans="1:17" x14ac:dyDescent="0.45">
      <c r="A553" s="1">
        <v>45413</v>
      </c>
      <c r="B553">
        <v>2024</v>
      </c>
      <c r="C553">
        <v>8</v>
      </c>
      <c r="D553" t="s">
        <v>22</v>
      </c>
      <c r="E553" s="2">
        <v>6874000</v>
      </c>
      <c r="F553" s="2">
        <v>587981.9</v>
      </c>
      <c r="G553" s="2">
        <v>291713.7</v>
      </c>
      <c r="H553" s="2">
        <v>258633.93</v>
      </c>
      <c r="I553" s="2">
        <v>31777.89</v>
      </c>
      <c r="J553">
        <v>31</v>
      </c>
      <c r="K553">
        <v>2</v>
      </c>
      <c r="L553">
        <v>38</v>
      </c>
      <c r="M553">
        <v>2</v>
      </c>
      <c r="N553">
        <v>9</v>
      </c>
      <c r="O553" s="2">
        <v>24238</v>
      </c>
      <c r="P553" s="2">
        <v>98.26</v>
      </c>
      <c r="Q553" s="2">
        <v>111.81</v>
      </c>
    </row>
    <row r="554" spans="1:17" x14ac:dyDescent="0.45">
      <c r="A554" s="1">
        <v>45901</v>
      </c>
      <c r="B554">
        <v>2025</v>
      </c>
      <c r="C554">
        <v>12</v>
      </c>
      <c r="D554" t="s">
        <v>21</v>
      </c>
      <c r="E554" s="2">
        <v>9180000</v>
      </c>
      <c r="F554" s="2">
        <v>742381.08</v>
      </c>
      <c r="G554" s="2">
        <v>475909.42</v>
      </c>
      <c r="H554" s="2">
        <v>238808.18</v>
      </c>
      <c r="I554" s="2">
        <v>16513.150000000001</v>
      </c>
      <c r="J554">
        <v>65</v>
      </c>
      <c r="K554">
        <v>7</v>
      </c>
      <c r="L554">
        <v>92</v>
      </c>
      <c r="M554">
        <v>3</v>
      </c>
      <c r="N554">
        <v>18</v>
      </c>
      <c r="O554" s="2">
        <v>85292.17</v>
      </c>
      <c r="P554" s="2">
        <v>118.35</v>
      </c>
      <c r="Q554" s="2">
        <v>118.55</v>
      </c>
    </row>
    <row r="555" spans="1:17" x14ac:dyDescent="0.45">
      <c r="A555" s="1">
        <v>45962</v>
      </c>
      <c r="B555">
        <v>2026</v>
      </c>
      <c r="C555">
        <v>2</v>
      </c>
      <c r="D555" t="s">
        <v>25</v>
      </c>
      <c r="E555" s="2">
        <v>4988000</v>
      </c>
      <c r="F555" s="2">
        <v>455027.53</v>
      </c>
      <c r="G555" s="2">
        <v>347446.55</v>
      </c>
      <c r="H555" s="2">
        <v>75808.81</v>
      </c>
      <c r="I555" s="2">
        <v>31956.02</v>
      </c>
      <c r="J555">
        <v>33</v>
      </c>
      <c r="K555">
        <v>4</v>
      </c>
      <c r="L555">
        <v>21</v>
      </c>
      <c r="M555">
        <v>4</v>
      </c>
      <c r="N555">
        <v>16</v>
      </c>
      <c r="O555" s="2">
        <v>49878.32</v>
      </c>
      <c r="P555" s="2">
        <v>119.27</v>
      </c>
      <c r="Q555" s="2">
        <v>118.28</v>
      </c>
    </row>
    <row r="556" spans="1:17" x14ac:dyDescent="0.45">
      <c r="A556" s="1">
        <v>45413</v>
      </c>
      <c r="B556">
        <v>2024</v>
      </c>
      <c r="C556">
        <v>8</v>
      </c>
      <c r="D556" t="s">
        <v>28</v>
      </c>
      <c r="E556" s="2">
        <v>24392000</v>
      </c>
      <c r="F556" s="2">
        <v>1984892.54</v>
      </c>
      <c r="G556" s="2">
        <v>1736960.84</v>
      </c>
      <c r="H556" s="2">
        <v>310572.96000000002</v>
      </c>
      <c r="I556" s="2">
        <v>66051.289999999994</v>
      </c>
      <c r="J556">
        <v>186</v>
      </c>
      <c r="K556">
        <v>14</v>
      </c>
      <c r="L556">
        <v>750</v>
      </c>
      <c r="M556">
        <v>7</v>
      </c>
      <c r="N556">
        <v>35</v>
      </c>
      <c r="O556" s="2">
        <v>513510.33</v>
      </c>
      <c r="P556" s="2">
        <v>103.53</v>
      </c>
      <c r="Q556" s="2">
        <v>112.09</v>
      </c>
    </row>
    <row r="557" spans="1:17" x14ac:dyDescent="0.45">
      <c r="A557" s="1">
        <v>45870</v>
      </c>
      <c r="B557">
        <v>2025</v>
      </c>
      <c r="C557">
        <v>11</v>
      </c>
      <c r="D557" t="s">
        <v>23</v>
      </c>
      <c r="E557" s="2">
        <v>21803000</v>
      </c>
      <c r="F557" s="2">
        <v>1763883.8</v>
      </c>
      <c r="G557" s="2">
        <v>872051.09</v>
      </c>
      <c r="H557" s="2">
        <v>771083.9</v>
      </c>
      <c r="I557" s="2">
        <v>103756.86</v>
      </c>
      <c r="J557">
        <v>101</v>
      </c>
      <c r="K557">
        <v>6</v>
      </c>
      <c r="L557">
        <v>368</v>
      </c>
      <c r="M557">
        <v>7</v>
      </c>
      <c r="N557">
        <v>28</v>
      </c>
      <c r="O557" s="2">
        <v>338505.78</v>
      </c>
      <c r="P557" s="2">
        <v>118.42</v>
      </c>
      <c r="Q557" s="2">
        <v>117.83</v>
      </c>
    </row>
    <row r="558" spans="1:17" x14ac:dyDescent="0.45">
      <c r="A558" s="1">
        <v>45627</v>
      </c>
      <c r="B558">
        <v>2025</v>
      </c>
      <c r="C558">
        <v>3</v>
      </c>
      <c r="D558" t="s">
        <v>17</v>
      </c>
      <c r="E558" s="2">
        <v>8377000</v>
      </c>
      <c r="F558" s="2">
        <v>804038.49</v>
      </c>
      <c r="G558" s="2">
        <v>360829.32</v>
      </c>
      <c r="H558" s="2">
        <v>375014.36</v>
      </c>
      <c r="I558" s="2">
        <v>48732.6</v>
      </c>
      <c r="J558">
        <v>44</v>
      </c>
      <c r="L558">
        <v>91</v>
      </c>
      <c r="M558">
        <v>5</v>
      </c>
      <c r="N558">
        <v>14</v>
      </c>
      <c r="O558" s="2">
        <v>87606.27</v>
      </c>
      <c r="P558" s="2">
        <v>105.29</v>
      </c>
      <c r="Q558" s="2">
        <v>115.23</v>
      </c>
    </row>
    <row r="559" spans="1:17" x14ac:dyDescent="0.45">
      <c r="A559" s="1">
        <v>44197</v>
      </c>
      <c r="B559">
        <v>2021</v>
      </c>
      <c r="C559">
        <v>4</v>
      </c>
      <c r="D559" t="s">
        <v>21</v>
      </c>
      <c r="E559" s="2">
        <v>8000000</v>
      </c>
      <c r="F559" s="2">
        <v>641412.57999999996</v>
      </c>
      <c r="G559" s="2">
        <v>408130.06</v>
      </c>
      <c r="H559" s="2">
        <v>216265.49</v>
      </c>
      <c r="I559" s="2">
        <v>27769.64</v>
      </c>
      <c r="J559">
        <v>62</v>
      </c>
      <c r="K559">
        <v>6</v>
      </c>
      <c r="L559">
        <v>0</v>
      </c>
      <c r="M559">
        <v>4</v>
      </c>
      <c r="N559">
        <v>15</v>
      </c>
      <c r="O559" s="2">
        <v>69592.100000000006</v>
      </c>
      <c r="P559" s="2">
        <v>99.68</v>
      </c>
      <c r="Q559" s="2">
        <v>99.81</v>
      </c>
    </row>
    <row r="560" spans="1:17" x14ac:dyDescent="0.45">
      <c r="A560" s="1">
        <v>44896</v>
      </c>
      <c r="B560">
        <v>2023</v>
      </c>
      <c r="C560">
        <v>3</v>
      </c>
      <c r="D560" t="s">
        <v>21</v>
      </c>
      <c r="E560" s="2">
        <v>8570000</v>
      </c>
      <c r="F560" s="2">
        <v>719164.03</v>
      </c>
      <c r="G560" s="2">
        <v>451044.67</v>
      </c>
      <c r="H560" s="2">
        <v>266490.83</v>
      </c>
      <c r="I560" s="2">
        <v>19891.47</v>
      </c>
      <c r="J560">
        <v>65</v>
      </c>
      <c r="K560">
        <v>8</v>
      </c>
      <c r="L560">
        <v>86</v>
      </c>
      <c r="M560">
        <v>1</v>
      </c>
      <c r="N560">
        <v>13</v>
      </c>
      <c r="O560" s="2">
        <v>35050.75</v>
      </c>
      <c r="P560" s="2">
        <v>105.2</v>
      </c>
      <c r="Q560" s="2">
        <v>107.3</v>
      </c>
    </row>
    <row r="561" spans="1:17" x14ac:dyDescent="0.45">
      <c r="A561" s="1">
        <v>44228</v>
      </c>
      <c r="B561">
        <v>2021</v>
      </c>
      <c r="C561">
        <v>5</v>
      </c>
      <c r="D561" t="s">
        <v>19</v>
      </c>
      <c r="E561" s="2">
        <v>4800000</v>
      </c>
      <c r="F561" s="2">
        <v>448204.58</v>
      </c>
      <c r="G561" s="2">
        <v>348771.39</v>
      </c>
      <c r="H561" s="2">
        <v>58995.040000000001</v>
      </c>
      <c r="I561" s="2">
        <v>34805.89</v>
      </c>
      <c r="J561">
        <v>36</v>
      </c>
      <c r="K561">
        <v>1</v>
      </c>
      <c r="L561">
        <v>42</v>
      </c>
      <c r="M561">
        <v>2</v>
      </c>
      <c r="N561">
        <v>14</v>
      </c>
      <c r="O561" s="2">
        <v>34848.300000000003</v>
      </c>
      <c r="P561" s="2">
        <v>103.79</v>
      </c>
      <c r="Q561" s="2">
        <v>100.39</v>
      </c>
    </row>
    <row r="562" spans="1:17" x14ac:dyDescent="0.45">
      <c r="A562" s="1">
        <v>45536</v>
      </c>
      <c r="B562">
        <v>2024</v>
      </c>
      <c r="C562">
        <v>12</v>
      </c>
      <c r="D562" t="s">
        <v>22</v>
      </c>
      <c r="E562" s="2">
        <v>6874000</v>
      </c>
      <c r="F562" s="2">
        <v>596854.04</v>
      </c>
      <c r="G562" s="2">
        <v>307117.37</v>
      </c>
      <c r="H562" s="2">
        <v>278766.21999999997</v>
      </c>
      <c r="I562" s="2">
        <v>22321.360000000001</v>
      </c>
      <c r="J562">
        <v>31</v>
      </c>
      <c r="K562">
        <v>3</v>
      </c>
      <c r="L562">
        <v>48</v>
      </c>
      <c r="M562">
        <v>1</v>
      </c>
      <c r="N562">
        <v>17</v>
      </c>
      <c r="O562" s="2">
        <v>36058.78</v>
      </c>
      <c r="P562" s="2">
        <v>108.57</v>
      </c>
      <c r="Q562" s="2">
        <v>114.02</v>
      </c>
    </row>
    <row r="563" spans="1:17" x14ac:dyDescent="0.45">
      <c r="A563" s="1">
        <v>45931</v>
      </c>
      <c r="B563">
        <v>2026</v>
      </c>
      <c r="C563">
        <v>1</v>
      </c>
      <c r="D563" t="s">
        <v>22</v>
      </c>
      <c r="E563" s="2">
        <v>7364000</v>
      </c>
      <c r="F563" s="2">
        <v>771342.69</v>
      </c>
      <c r="G563" s="2">
        <v>316242.65000000002</v>
      </c>
      <c r="H563" s="2">
        <v>293292.64</v>
      </c>
      <c r="I563" s="2">
        <v>156804.14000000001</v>
      </c>
      <c r="J563">
        <v>31</v>
      </c>
      <c r="K563">
        <v>4</v>
      </c>
      <c r="M563">
        <v>3</v>
      </c>
      <c r="N563">
        <v>18</v>
      </c>
      <c r="O563" s="2">
        <v>65477.97</v>
      </c>
      <c r="P563" s="2">
        <v>122.45</v>
      </c>
      <c r="Q563" s="2">
        <v>118.43</v>
      </c>
    </row>
    <row r="564" spans="1:17" x14ac:dyDescent="0.45">
      <c r="A564" s="1">
        <v>45809</v>
      </c>
      <c r="B564">
        <v>2025</v>
      </c>
      <c r="C564">
        <v>9</v>
      </c>
      <c r="D564" t="s">
        <v>19</v>
      </c>
      <c r="E564" s="2">
        <v>5508000</v>
      </c>
      <c r="F564" s="2">
        <v>509572.9</v>
      </c>
      <c r="G564" s="2">
        <v>392256.49</v>
      </c>
      <c r="H564" s="2">
        <v>70711.960000000006</v>
      </c>
      <c r="I564" s="2">
        <v>50171.07</v>
      </c>
      <c r="J564">
        <v>37</v>
      </c>
      <c r="K564">
        <v>3</v>
      </c>
      <c r="L564">
        <v>81</v>
      </c>
      <c r="M564">
        <v>0</v>
      </c>
      <c r="N564">
        <v>2</v>
      </c>
      <c r="O564" s="2">
        <v>1515.58</v>
      </c>
      <c r="P564" s="2">
        <v>114.8</v>
      </c>
      <c r="Q564" s="2">
        <v>117.17</v>
      </c>
    </row>
    <row r="565" spans="1:17" x14ac:dyDescent="0.45">
      <c r="A565" s="1">
        <v>44713</v>
      </c>
      <c r="B565">
        <v>2022</v>
      </c>
      <c r="C565">
        <v>9</v>
      </c>
      <c r="D565" t="s">
        <v>22</v>
      </c>
      <c r="E565" s="2">
        <v>6417000</v>
      </c>
      <c r="F565" s="2">
        <v>501610.16</v>
      </c>
      <c r="G565" s="2">
        <v>261666.42</v>
      </c>
      <c r="H565" s="2">
        <v>211491.06</v>
      </c>
      <c r="I565" s="2">
        <v>31141.78</v>
      </c>
      <c r="J565">
        <v>30</v>
      </c>
      <c r="K565">
        <v>2</v>
      </c>
      <c r="L565">
        <v>44</v>
      </c>
      <c r="M565">
        <v>1</v>
      </c>
      <c r="N565">
        <v>11</v>
      </c>
      <c r="O565" s="2">
        <v>26313.64</v>
      </c>
      <c r="P565" s="2">
        <v>110.08</v>
      </c>
      <c r="Q565" s="2">
        <v>104.61</v>
      </c>
    </row>
    <row r="566" spans="1:17" x14ac:dyDescent="0.45">
      <c r="A566" s="1">
        <v>44652</v>
      </c>
      <c r="B566">
        <v>2022</v>
      </c>
      <c r="C566">
        <v>7</v>
      </c>
      <c r="D566" t="s">
        <v>28</v>
      </c>
      <c r="E566" s="2">
        <v>22770000</v>
      </c>
      <c r="F566" s="2">
        <v>1881956.21</v>
      </c>
      <c r="G566" s="2">
        <v>1485322.06</v>
      </c>
      <c r="H566" s="2">
        <v>394308.6</v>
      </c>
      <c r="I566" s="2">
        <v>35315.730000000003</v>
      </c>
      <c r="J566">
        <v>175</v>
      </c>
      <c r="K566">
        <v>14</v>
      </c>
      <c r="L566">
        <v>555</v>
      </c>
      <c r="M566">
        <v>7</v>
      </c>
      <c r="N566">
        <v>22</v>
      </c>
      <c r="O566" s="2">
        <v>332553.53999999998</v>
      </c>
      <c r="P566" s="2">
        <v>110.02</v>
      </c>
      <c r="Q566" s="2">
        <v>105.07</v>
      </c>
    </row>
    <row r="567" spans="1:17" x14ac:dyDescent="0.45">
      <c r="A567" s="1">
        <v>44652</v>
      </c>
      <c r="B567">
        <v>2022</v>
      </c>
      <c r="C567">
        <v>7</v>
      </c>
      <c r="D567" t="s">
        <v>19</v>
      </c>
      <c r="E567" s="2">
        <v>4968000</v>
      </c>
      <c r="F567" s="2">
        <v>430400.77</v>
      </c>
      <c r="G567" s="2">
        <v>355112.47</v>
      </c>
      <c r="H567" s="2">
        <v>62827.11</v>
      </c>
      <c r="I567" s="2">
        <v>10325.14</v>
      </c>
      <c r="J567">
        <v>35</v>
      </c>
      <c r="K567">
        <v>3</v>
      </c>
      <c r="L567">
        <v>74</v>
      </c>
      <c r="M567">
        <v>1</v>
      </c>
      <c r="N567">
        <v>9</v>
      </c>
      <c r="O567" s="2">
        <v>11426.76</v>
      </c>
      <c r="P567" s="2">
        <v>111.93</v>
      </c>
      <c r="Q567" s="2">
        <v>104.91</v>
      </c>
    </row>
    <row r="568" spans="1:17" x14ac:dyDescent="0.45">
      <c r="A568" s="1">
        <v>45992</v>
      </c>
      <c r="B568">
        <v>2026</v>
      </c>
      <c r="C568">
        <v>3</v>
      </c>
      <c r="D568" t="s">
        <v>27</v>
      </c>
      <c r="E568" s="2">
        <v>29692000</v>
      </c>
      <c r="F568" s="2">
        <v>3117515.07</v>
      </c>
      <c r="G568" s="2">
        <v>2038649.78</v>
      </c>
      <c r="H568" s="2">
        <v>668569.99</v>
      </c>
      <c r="I568" s="2">
        <v>390364.31</v>
      </c>
      <c r="J568">
        <v>219</v>
      </c>
      <c r="K568">
        <v>16</v>
      </c>
      <c r="L568">
        <v>1241</v>
      </c>
      <c r="M568">
        <v>6</v>
      </c>
      <c r="N568">
        <v>32</v>
      </c>
      <c r="O568" s="2">
        <v>428183.34</v>
      </c>
      <c r="P568" s="2">
        <v>120.19</v>
      </c>
      <c r="Q568" s="2">
        <v>118.98</v>
      </c>
    </row>
    <row r="569" spans="1:17" x14ac:dyDescent="0.45">
      <c r="A569" s="1">
        <v>45200</v>
      </c>
      <c r="B569">
        <v>2024</v>
      </c>
      <c r="C569">
        <v>1</v>
      </c>
      <c r="D569" t="s">
        <v>17</v>
      </c>
      <c r="E569" s="2">
        <v>8094000</v>
      </c>
      <c r="F569" s="2">
        <v>795985.48</v>
      </c>
      <c r="G569" s="2">
        <v>377558.57</v>
      </c>
      <c r="H569" s="2">
        <v>282606.46000000002</v>
      </c>
      <c r="I569" s="2">
        <v>115687.12</v>
      </c>
      <c r="J569">
        <v>45</v>
      </c>
      <c r="K569">
        <v>1</v>
      </c>
      <c r="L569">
        <v>85</v>
      </c>
      <c r="M569">
        <v>4</v>
      </c>
      <c r="N569">
        <v>15</v>
      </c>
      <c r="O569" s="2">
        <v>93600.58</v>
      </c>
      <c r="P569" s="2">
        <v>101.46</v>
      </c>
      <c r="Q569" s="2">
        <v>110.41</v>
      </c>
    </row>
    <row r="570" spans="1:17" x14ac:dyDescent="0.45">
      <c r="A570" s="1">
        <v>45566</v>
      </c>
      <c r="B570">
        <v>2025</v>
      </c>
      <c r="C570">
        <v>1</v>
      </c>
      <c r="D570" t="s">
        <v>22</v>
      </c>
      <c r="E570" s="2">
        <v>7115000</v>
      </c>
      <c r="F570" s="2">
        <v>618084.05000000005</v>
      </c>
      <c r="G570" s="2">
        <v>294856.49</v>
      </c>
      <c r="H570" s="2">
        <v>291464.84000000003</v>
      </c>
      <c r="I570" s="2">
        <v>28776.42</v>
      </c>
      <c r="J570">
        <v>30</v>
      </c>
      <c r="K570">
        <v>3</v>
      </c>
      <c r="L570">
        <v>71</v>
      </c>
      <c r="M570">
        <v>3</v>
      </c>
      <c r="N570">
        <v>18</v>
      </c>
      <c r="O570" s="2">
        <v>67363.570000000007</v>
      </c>
      <c r="P570" s="2">
        <v>108.1</v>
      </c>
      <c r="Q570" s="2">
        <v>113.75</v>
      </c>
    </row>
    <row r="571" spans="1:17" x14ac:dyDescent="0.45">
      <c r="A571" s="1">
        <v>44197</v>
      </c>
      <c r="B571">
        <v>2021</v>
      </c>
      <c r="C571">
        <v>4</v>
      </c>
      <c r="D571" t="s">
        <v>23</v>
      </c>
      <c r="E571" s="2">
        <v>19000000</v>
      </c>
      <c r="F571" s="2">
        <v>1370225.9</v>
      </c>
      <c r="G571" s="2">
        <v>682441.3</v>
      </c>
      <c r="H571" s="2">
        <v>623648.46</v>
      </c>
      <c r="I571" s="2">
        <v>63527.6</v>
      </c>
      <c r="J571">
        <v>93</v>
      </c>
      <c r="K571">
        <v>8</v>
      </c>
      <c r="M571">
        <v>5</v>
      </c>
      <c r="N571">
        <v>28</v>
      </c>
      <c r="O571" s="2">
        <v>180061.46</v>
      </c>
      <c r="P571" s="2">
        <v>102.81</v>
      </c>
      <c r="Q571" s="2">
        <v>99.98</v>
      </c>
    </row>
    <row r="572" spans="1:17" x14ac:dyDescent="0.45">
      <c r="A572" s="1">
        <v>45139</v>
      </c>
      <c r="B572">
        <v>2023</v>
      </c>
      <c r="C572">
        <v>11</v>
      </c>
      <c r="D572" t="s">
        <v>25</v>
      </c>
      <c r="E572" s="2">
        <v>4499000</v>
      </c>
      <c r="F572" s="2">
        <v>395235.86</v>
      </c>
      <c r="G572" s="2">
        <v>325793.45</v>
      </c>
      <c r="H572" s="2">
        <v>66652.62</v>
      </c>
      <c r="I572" s="2">
        <v>3076.06</v>
      </c>
      <c r="J572">
        <v>34</v>
      </c>
      <c r="K572">
        <v>0</v>
      </c>
      <c r="L572">
        <v>24</v>
      </c>
      <c r="M572">
        <v>5</v>
      </c>
      <c r="N572">
        <v>15</v>
      </c>
      <c r="O572" s="2">
        <v>56599.28</v>
      </c>
      <c r="P572" s="2">
        <v>102.41</v>
      </c>
      <c r="Q572" s="2">
        <v>109.62</v>
      </c>
    </row>
    <row r="573" spans="1:17" x14ac:dyDescent="0.45">
      <c r="A573" s="1">
        <v>45778</v>
      </c>
      <c r="B573">
        <v>2025</v>
      </c>
      <c r="C573">
        <v>8</v>
      </c>
      <c r="D573" t="s">
        <v>21</v>
      </c>
      <c r="E573" s="2">
        <v>9180000</v>
      </c>
      <c r="F573" s="2">
        <v>852031.49</v>
      </c>
      <c r="G573" s="2">
        <v>509665.25</v>
      </c>
      <c r="H573" s="2">
        <v>322182.65999999997</v>
      </c>
      <c r="I573" s="2">
        <v>17729.349999999999</v>
      </c>
      <c r="J573">
        <v>68</v>
      </c>
      <c r="K573">
        <v>4</v>
      </c>
      <c r="L573">
        <v>36</v>
      </c>
      <c r="M573">
        <v>2</v>
      </c>
      <c r="N573">
        <v>13</v>
      </c>
      <c r="O573" s="2">
        <v>56781.54</v>
      </c>
      <c r="P573" s="2">
        <v>117.74</v>
      </c>
      <c r="Q573" s="2">
        <v>116.58</v>
      </c>
    </row>
    <row r="574" spans="1:17" x14ac:dyDescent="0.45">
      <c r="A574" s="1">
        <v>44713</v>
      </c>
      <c r="B574">
        <v>2022</v>
      </c>
      <c r="C574">
        <v>9</v>
      </c>
      <c r="D574" t="s">
        <v>19</v>
      </c>
      <c r="E574" s="2">
        <v>4968000</v>
      </c>
      <c r="F574" s="2">
        <v>407178.75</v>
      </c>
      <c r="G574" s="2">
        <v>337822.92</v>
      </c>
      <c r="H574" s="2">
        <v>66847.199999999997</v>
      </c>
      <c r="I574" s="2">
        <v>7438.91</v>
      </c>
      <c r="J574">
        <v>35</v>
      </c>
      <c r="K574">
        <v>2</v>
      </c>
      <c r="L574">
        <v>72</v>
      </c>
      <c r="M574">
        <v>2</v>
      </c>
      <c r="N574">
        <v>16</v>
      </c>
      <c r="O574" s="2">
        <v>38553.269999999997</v>
      </c>
      <c r="P574" s="2">
        <v>112.05</v>
      </c>
      <c r="Q574" s="2">
        <v>105.24</v>
      </c>
    </row>
    <row r="575" spans="1:17" x14ac:dyDescent="0.45">
      <c r="A575" s="1">
        <v>44835</v>
      </c>
      <c r="B575">
        <v>2023</v>
      </c>
      <c r="C575">
        <v>1</v>
      </c>
      <c r="D575" t="s">
        <v>29</v>
      </c>
      <c r="E575" s="2">
        <v>23567000</v>
      </c>
      <c r="F575" s="2">
        <v>2106022.2400000002</v>
      </c>
      <c r="G575" s="2">
        <v>1589344.17</v>
      </c>
      <c r="H575" s="2">
        <v>440343.87</v>
      </c>
      <c r="I575" s="2">
        <v>23787.81</v>
      </c>
      <c r="J575">
        <v>175</v>
      </c>
      <c r="K575">
        <v>15</v>
      </c>
      <c r="L575">
        <v>810</v>
      </c>
      <c r="M575">
        <v>7</v>
      </c>
      <c r="N575">
        <v>36</v>
      </c>
      <c r="O575" s="2">
        <v>397294.59</v>
      </c>
      <c r="P575" s="2">
        <v>111.81</v>
      </c>
      <c r="Q575" s="2">
        <v>106.34</v>
      </c>
    </row>
    <row r="576" spans="1:17" x14ac:dyDescent="0.45">
      <c r="A576" s="1">
        <v>44440</v>
      </c>
      <c r="B576">
        <v>2021</v>
      </c>
      <c r="C576">
        <v>12</v>
      </c>
      <c r="D576" t="s">
        <v>21</v>
      </c>
      <c r="E576" s="2">
        <v>8000000</v>
      </c>
      <c r="F576" s="2">
        <v>629172.97</v>
      </c>
      <c r="G576" s="2">
        <v>417238.54</v>
      </c>
      <c r="H576" s="2">
        <v>176689.45</v>
      </c>
      <c r="I576" s="2">
        <v>27085.57</v>
      </c>
      <c r="J576">
        <v>64</v>
      </c>
      <c r="K576">
        <v>2</v>
      </c>
      <c r="L576">
        <v>25</v>
      </c>
      <c r="M576">
        <v>5</v>
      </c>
      <c r="N576">
        <v>22</v>
      </c>
      <c r="O576" s="2">
        <v>109926.42</v>
      </c>
      <c r="P576" s="2">
        <v>105.25</v>
      </c>
      <c r="Q576" s="2">
        <v>102.85</v>
      </c>
    </row>
    <row r="577" spans="1:17" x14ac:dyDescent="0.45">
      <c r="A577" s="1">
        <v>45139</v>
      </c>
      <c r="B577">
        <v>2023</v>
      </c>
      <c r="C577">
        <v>11</v>
      </c>
      <c r="D577" t="s">
        <v>17</v>
      </c>
      <c r="E577" s="2">
        <v>7820000</v>
      </c>
      <c r="F577" s="2">
        <v>610737.39</v>
      </c>
      <c r="G577" s="2">
        <v>330932.34000000003</v>
      </c>
      <c r="H577" s="2">
        <v>267255.87</v>
      </c>
      <c r="I577" s="2">
        <v>26507.5</v>
      </c>
      <c r="J577">
        <v>43</v>
      </c>
      <c r="K577">
        <v>4</v>
      </c>
      <c r="L577">
        <v>62</v>
      </c>
      <c r="M577">
        <v>2</v>
      </c>
      <c r="N577">
        <v>13</v>
      </c>
      <c r="O577" s="2">
        <v>53169.95</v>
      </c>
      <c r="P577" s="2">
        <v>103.36</v>
      </c>
      <c r="Q577" s="2">
        <v>109.02</v>
      </c>
    </row>
    <row r="578" spans="1:17" x14ac:dyDescent="0.45">
      <c r="A578" s="1">
        <v>44713</v>
      </c>
      <c r="B578">
        <v>2022</v>
      </c>
      <c r="C578">
        <v>9</v>
      </c>
      <c r="D578" t="s">
        <v>27</v>
      </c>
      <c r="E578" s="2">
        <v>25875000</v>
      </c>
      <c r="F578" s="2">
        <v>2098521.4</v>
      </c>
      <c r="G578" s="2">
        <v>1648251.02</v>
      </c>
      <c r="H578" s="2">
        <v>475100.2</v>
      </c>
      <c r="I578" s="2">
        <v>84477.57</v>
      </c>
      <c r="J578">
        <v>202</v>
      </c>
      <c r="K578">
        <v>14</v>
      </c>
      <c r="L578">
        <v>976</v>
      </c>
      <c r="M578">
        <v>7</v>
      </c>
      <c r="N578">
        <v>31</v>
      </c>
      <c r="O578" s="2">
        <v>420804.3</v>
      </c>
      <c r="P578" s="2">
        <v>113.6</v>
      </c>
      <c r="Q578" s="2">
        <v>105.09</v>
      </c>
    </row>
    <row r="579" spans="1:17" x14ac:dyDescent="0.45">
      <c r="A579" s="1">
        <v>45931</v>
      </c>
      <c r="B579">
        <v>2026</v>
      </c>
      <c r="C579">
        <v>1</v>
      </c>
      <c r="D579" t="s">
        <v>21</v>
      </c>
      <c r="E579" s="2">
        <v>9501000</v>
      </c>
      <c r="F579" s="2">
        <v>797553.43</v>
      </c>
      <c r="G579" s="2">
        <v>518000.01</v>
      </c>
      <c r="H579" s="2">
        <v>252316.14</v>
      </c>
      <c r="I579" s="2">
        <v>39650.53</v>
      </c>
      <c r="J579">
        <v>67</v>
      </c>
      <c r="K579">
        <v>5</v>
      </c>
      <c r="L579">
        <v>37</v>
      </c>
      <c r="M579">
        <v>2</v>
      </c>
      <c r="N579">
        <v>15</v>
      </c>
      <c r="O579" s="2">
        <v>62572.83</v>
      </c>
      <c r="P579" s="2">
        <v>123.7</v>
      </c>
      <c r="Q579" s="2">
        <v>118.19</v>
      </c>
    </row>
    <row r="580" spans="1:17" x14ac:dyDescent="0.45">
      <c r="A580" s="1">
        <v>44378</v>
      </c>
      <c r="B580">
        <v>2021</v>
      </c>
      <c r="C580">
        <v>10</v>
      </c>
      <c r="D580" t="s">
        <v>27</v>
      </c>
      <c r="E580" s="2">
        <v>25000000</v>
      </c>
      <c r="F580" s="2">
        <v>1995126</v>
      </c>
      <c r="G580" s="2">
        <v>1621807.4</v>
      </c>
      <c r="H580" s="2">
        <v>381748.95</v>
      </c>
      <c r="I580" s="2">
        <v>37588.230000000003</v>
      </c>
      <c r="J580">
        <v>203</v>
      </c>
      <c r="K580">
        <v>18</v>
      </c>
      <c r="L580">
        <v>890</v>
      </c>
      <c r="M580">
        <v>9</v>
      </c>
      <c r="N580">
        <v>34</v>
      </c>
      <c r="O580" s="2">
        <v>546724.69999999995</v>
      </c>
      <c r="P580" s="2">
        <v>106.22</v>
      </c>
      <c r="Q580" s="2">
        <v>101.46</v>
      </c>
    </row>
    <row r="581" spans="1:17" x14ac:dyDescent="0.45">
      <c r="A581" s="1">
        <v>45717</v>
      </c>
      <c r="B581">
        <v>2025</v>
      </c>
      <c r="C581">
        <v>6</v>
      </c>
      <c r="D581" t="s">
        <v>23</v>
      </c>
      <c r="E581" s="2">
        <v>21803000</v>
      </c>
      <c r="F581" s="2">
        <v>1712596.87</v>
      </c>
      <c r="G581" s="2">
        <v>835478.91</v>
      </c>
      <c r="H581" s="2">
        <v>813679.37</v>
      </c>
      <c r="I581" s="2">
        <v>72505.8</v>
      </c>
      <c r="J581">
        <v>97</v>
      </c>
      <c r="K581">
        <v>8</v>
      </c>
      <c r="L581">
        <v>413</v>
      </c>
      <c r="M581">
        <v>5</v>
      </c>
      <c r="N581">
        <v>23</v>
      </c>
      <c r="O581" s="2">
        <v>348850.6</v>
      </c>
      <c r="P581" s="2">
        <v>112.86</v>
      </c>
      <c r="Q581" s="2">
        <v>115.5</v>
      </c>
    </row>
    <row r="582" spans="1:17" x14ac:dyDescent="0.45">
      <c r="A582" s="1">
        <v>45200</v>
      </c>
      <c r="B582">
        <v>2024</v>
      </c>
      <c r="C582">
        <v>1</v>
      </c>
      <c r="D582" t="s">
        <v>19</v>
      </c>
      <c r="E582" s="2">
        <v>5322000</v>
      </c>
      <c r="F582" s="2">
        <v>456694.74</v>
      </c>
      <c r="G582" s="2">
        <v>399691.72</v>
      </c>
      <c r="H582" s="2">
        <v>65775.92</v>
      </c>
      <c r="I582" s="2">
        <v>3846.72</v>
      </c>
      <c r="J582">
        <v>38</v>
      </c>
      <c r="K582">
        <v>3</v>
      </c>
      <c r="L582">
        <v>71</v>
      </c>
      <c r="M582">
        <v>1</v>
      </c>
      <c r="N582">
        <v>13</v>
      </c>
      <c r="O582" s="2">
        <v>26371.41</v>
      </c>
      <c r="P582" s="2">
        <v>100.51</v>
      </c>
      <c r="Q582" s="2">
        <v>110.53</v>
      </c>
    </row>
    <row r="583" spans="1:17" x14ac:dyDescent="0.45">
      <c r="A583" s="1">
        <v>44958</v>
      </c>
      <c r="B583">
        <v>2023</v>
      </c>
      <c r="C583">
        <v>5</v>
      </c>
      <c r="D583" t="s">
        <v>23</v>
      </c>
      <c r="E583" s="2">
        <v>20353000</v>
      </c>
      <c r="F583" s="2">
        <v>1653682.47</v>
      </c>
      <c r="G583" s="2">
        <v>785219.35</v>
      </c>
      <c r="H583" s="2">
        <v>741172.35</v>
      </c>
      <c r="I583" s="2">
        <v>115559.59</v>
      </c>
      <c r="J583">
        <v>100</v>
      </c>
      <c r="K583">
        <v>5</v>
      </c>
      <c r="L583">
        <v>336</v>
      </c>
      <c r="M583">
        <v>9</v>
      </c>
      <c r="N583">
        <v>32</v>
      </c>
      <c r="O583" s="2">
        <v>430389.61</v>
      </c>
      <c r="P583" s="2">
        <v>104.96</v>
      </c>
      <c r="Q583" s="2">
        <v>107.01</v>
      </c>
    </row>
    <row r="584" spans="1:17" x14ac:dyDescent="0.45">
      <c r="A584" s="1">
        <v>44197</v>
      </c>
      <c r="B584">
        <v>2021</v>
      </c>
      <c r="C584">
        <v>4</v>
      </c>
      <c r="D584" t="s">
        <v>25</v>
      </c>
      <c r="E584" s="2">
        <v>4200000</v>
      </c>
      <c r="F584" s="2">
        <v>327473.89</v>
      </c>
      <c r="G584" s="2">
        <v>266230.96999999997</v>
      </c>
      <c r="H584" s="2">
        <v>54479.8</v>
      </c>
      <c r="I584" s="2">
        <v>3269.59</v>
      </c>
      <c r="J584">
        <v>30</v>
      </c>
      <c r="K584">
        <v>3</v>
      </c>
      <c r="L584">
        <v>40</v>
      </c>
      <c r="M584">
        <v>4</v>
      </c>
      <c r="N584">
        <v>15</v>
      </c>
      <c r="O584" s="2">
        <v>45760.61</v>
      </c>
      <c r="P584" s="2">
        <v>95.11</v>
      </c>
      <c r="Q584" s="2">
        <v>99.59</v>
      </c>
    </row>
    <row r="585" spans="1:17" x14ac:dyDescent="0.45">
      <c r="A585" s="1">
        <v>44409</v>
      </c>
      <c r="B585">
        <v>2021</v>
      </c>
      <c r="C585">
        <v>11</v>
      </c>
      <c r="D585" t="s">
        <v>18</v>
      </c>
      <c r="E585" s="2">
        <v>3500000</v>
      </c>
      <c r="F585" s="2">
        <v>290360.12</v>
      </c>
      <c r="G585" s="2">
        <v>249765.7</v>
      </c>
      <c r="H585" s="2">
        <v>41263.519999999997</v>
      </c>
      <c r="I585" s="2">
        <v>5798.38</v>
      </c>
      <c r="J585">
        <v>27</v>
      </c>
      <c r="K585">
        <v>4</v>
      </c>
      <c r="L585">
        <v>33</v>
      </c>
      <c r="M585">
        <v>2</v>
      </c>
      <c r="N585">
        <v>8</v>
      </c>
      <c r="O585" s="2">
        <v>16667.68</v>
      </c>
      <c r="P585" s="2">
        <v>106.33</v>
      </c>
      <c r="Q585" s="2">
        <v>101.53</v>
      </c>
    </row>
    <row r="586" spans="1:17" x14ac:dyDescent="0.45">
      <c r="A586" s="1">
        <v>45200</v>
      </c>
      <c r="B586">
        <v>2024</v>
      </c>
      <c r="C586">
        <v>1</v>
      </c>
      <c r="D586" t="s">
        <v>28</v>
      </c>
      <c r="E586" s="2">
        <v>24392000</v>
      </c>
      <c r="F586" s="2">
        <v>2125167.73</v>
      </c>
      <c r="G586" s="2">
        <v>1693335.87</v>
      </c>
      <c r="H586" s="2">
        <v>401087.5</v>
      </c>
      <c r="I586" s="2">
        <v>35377.19</v>
      </c>
      <c r="J586">
        <v>181</v>
      </c>
      <c r="K586">
        <v>16</v>
      </c>
      <c r="L586">
        <v>738</v>
      </c>
      <c r="M586">
        <v>9</v>
      </c>
      <c r="N586">
        <v>36</v>
      </c>
      <c r="O586" s="2">
        <v>566722.35</v>
      </c>
      <c r="P586" s="2">
        <v>100.77</v>
      </c>
      <c r="Q586" s="2">
        <v>110.42</v>
      </c>
    </row>
    <row r="587" spans="1:17" x14ac:dyDescent="0.45">
      <c r="A587" s="1">
        <v>45017</v>
      </c>
      <c r="B587">
        <v>2023</v>
      </c>
      <c r="C587">
        <v>7</v>
      </c>
      <c r="D587" t="s">
        <v>21</v>
      </c>
      <c r="E587" s="2">
        <v>8570000</v>
      </c>
      <c r="F587" s="2">
        <v>607073.81999999995</v>
      </c>
      <c r="G587" s="2">
        <v>415510.22</v>
      </c>
      <c r="H587" s="2">
        <v>211510.28</v>
      </c>
      <c r="I587" s="2">
        <v>26615.03</v>
      </c>
      <c r="J587">
        <v>60</v>
      </c>
      <c r="K587">
        <v>6</v>
      </c>
      <c r="L587">
        <v>73</v>
      </c>
      <c r="M587">
        <v>4</v>
      </c>
      <c r="N587">
        <v>19</v>
      </c>
      <c r="O587" s="2">
        <v>111344.58</v>
      </c>
      <c r="P587" s="2">
        <v>108.89</v>
      </c>
      <c r="Q587" s="2">
        <v>107.84</v>
      </c>
    </row>
    <row r="588" spans="1:17" x14ac:dyDescent="0.45">
      <c r="A588" s="1">
        <v>44621</v>
      </c>
      <c r="B588">
        <v>2022</v>
      </c>
      <c r="C588">
        <v>6</v>
      </c>
      <c r="D588" t="s">
        <v>25</v>
      </c>
      <c r="E588" s="2">
        <v>4347000</v>
      </c>
      <c r="F588" s="2">
        <v>372361.37</v>
      </c>
      <c r="G588" s="2">
        <v>295938.31</v>
      </c>
      <c r="H588" s="2">
        <v>68371.710000000006</v>
      </c>
      <c r="I588" s="2">
        <v>3602.02</v>
      </c>
      <c r="J588">
        <v>33</v>
      </c>
      <c r="K588">
        <v>5</v>
      </c>
      <c r="L588">
        <v>38</v>
      </c>
      <c r="M588">
        <v>0</v>
      </c>
      <c r="N588">
        <v>7</v>
      </c>
      <c r="O588" s="2">
        <v>5857.24</v>
      </c>
      <c r="P588" s="2">
        <v>112.05</v>
      </c>
      <c r="Q588" s="2">
        <v>104.19</v>
      </c>
    </row>
    <row r="589" spans="1:17" x14ac:dyDescent="0.45">
      <c r="A589" s="1">
        <v>44774</v>
      </c>
      <c r="B589">
        <v>2022</v>
      </c>
      <c r="C589">
        <v>11</v>
      </c>
      <c r="D589" t="s">
        <v>22</v>
      </c>
      <c r="E589" s="2">
        <v>6417000</v>
      </c>
      <c r="F589" s="2">
        <v>509435.9</v>
      </c>
      <c r="G589" s="2">
        <v>257434.21</v>
      </c>
      <c r="H589" s="2">
        <v>209946.22</v>
      </c>
      <c r="I589" s="2">
        <v>27264.7</v>
      </c>
      <c r="J589">
        <v>29</v>
      </c>
      <c r="K589">
        <v>0</v>
      </c>
      <c r="L589">
        <v>71</v>
      </c>
      <c r="M589">
        <v>0</v>
      </c>
      <c r="N589">
        <v>10</v>
      </c>
      <c r="O589" s="2">
        <v>11000.83</v>
      </c>
      <c r="P589" s="2">
        <v>109.37</v>
      </c>
      <c r="Q589" s="2">
        <v>104.83</v>
      </c>
    </row>
    <row r="590" spans="1:17" x14ac:dyDescent="0.45">
      <c r="A590" s="1">
        <v>44501</v>
      </c>
      <c r="B590">
        <v>2022</v>
      </c>
      <c r="C590">
        <v>2</v>
      </c>
      <c r="D590" t="s">
        <v>22</v>
      </c>
      <c r="E590" s="2">
        <v>6417000</v>
      </c>
      <c r="F590" s="2">
        <v>524070.86</v>
      </c>
      <c r="G590" s="2">
        <v>243963.2</v>
      </c>
      <c r="H590" s="2">
        <v>269796.78000000003</v>
      </c>
      <c r="I590" s="2">
        <v>10540.15</v>
      </c>
      <c r="J590">
        <v>29</v>
      </c>
      <c r="K590">
        <v>0</v>
      </c>
      <c r="L590">
        <v>44</v>
      </c>
      <c r="M590">
        <v>0</v>
      </c>
      <c r="N590">
        <v>12</v>
      </c>
      <c r="O590" s="2">
        <v>10103.950000000001</v>
      </c>
      <c r="P590" s="2">
        <v>113.89</v>
      </c>
      <c r="Q590" s="2">
        <v>102.87</v>
      </c>
    </row>
    <row r="591" spans="1:17" x14ac:dyDescent="0.45">
      <c r="A591" s="1">
        <v>44774</v>
      </c>
      <c r="B591">
        <v>2022</v>
      </c>
      <c r="C591">
        <v>11</v>
      </c>
      <c r="D591" t="s">
        <v>24</v>
      </c>
      <c r="E591" s="2">
        <v>13972000</v>
      </c>
      <c r="F591" s="2">
        <v>1262651.97</v>
      </c>
      <c r="G591" s="2">
        <v>527723.30000000005</v>
      </c>
      <c r="H591" s="2">
        <v>449702.58</v>
      </c>
      <c r="I591" s="2">
        <v>247537.64</v>
      </c>
      <c r="J591">
        <v>75</v>
      </c>
      <c r="K591">
        <v>6</v>
      </c>
      <c r="L591">
        <v>76</v>
      </c>
      <c r="M591">
        <v>4</v>
      </c>
      <c r="N591">
        <v>25</v>
      </c>
      <c r="O591" s="2">
        <v>168008.35</v>
      </c>
      <c r="P591" s="2">
        <v>113.49</v>
      </c>
      <c r="Q591" s="2">
        <v>105.94</v>
      </c>
    </row>
    <row r="592" spans="1:17" x14ac:dyDescent="0.45">
      <c r="A592" s="1">
        <v>44774</v>
      </c>
      <c r="B592">
        <v>2022</v>
      </c>
      <c r="C592">
        <v>11</v>
      </c>
      <c r="D592" t="s">
        <v>28</v>
      </c>
      <c r="E592" s="2">
        <v>22770000</v>
      </c>
      <c r="F592" s="2">
        <v>1928278.36</v>
      </c>
      <c r="G592" s="2">
        <v>1583265.14</v>
      </c>
      <c r="H592" s="2">
        <v>391490.05</v>
      </c>
      <c r="I592" s="2">
        <v>38806.99</v>
      </c>
      <c r="J592">
        <v>177</v>
      </c>
      <c r="K592">
        <v>14</v>
      </c>
      <c r="L592">
        <v>711</v>
      </c>
      <c r="M592">
        <v>6</v>
      </c>
      <c r="N592">
        <v>30</v>
      </c>
      <c r="O592" s="2">
        <v>380927.83</v>
      </c>
      <c r="P592" s="2">
        <v>107.8</v>
      </c>
      <c r="Q592" s="2">
        <v>106.45</v>
      </c>
    </row>
    <row r="593" spans="1:17" x14ac:dyDescent="0.45">
      <c r="A593" s="1">
        <v>45627</v>
      </c>
      <c r="B593">
        <v>2025</v>
      </c>
      <c r="C593">
        <v>3</v>
      </c>
      <c r="D593" t="s">
        <v>24</v>
      </c>
      <c r="E593" s="2">
        <v>15492000</v>
      </c>
      <c r="F593" s="2">
        <v>1428915.54</v>
      </c>
      <c r="G593" s="2">
        <v>648650.15</v>
      </c>
      <c r="H593" s="2">
        <v>673679.19</v>
      </c>
      <c r="I593" s="2">
        <v>58523</v>
      </c>
      <c r="J593">
        <v>81</v>
      </c>
      <c r="K593">
        <v>5</v>
      </c>
      <c r="L593">
        <v>105</v>
      </c>
      <c r="M593">
        <v>6</v>
      </c>
      <c r="N593">
        <v>23</v>
      </c>
      <c r="O593" s="2">
        <v>193300.4</v>
      </c>
      <c r="P593" s="2">
        <v>110.02</v>
      </c>
      <c r="Q593" s="2">
        <v>114.8</v>
      </c>
    </row>
    <row r="594" spans="1:17" x14ac:dyDescent="0.45">
      <c r="A594" s="1">
        <v>45383</v>
      </c>
      <c r="B594">
        <v>2024</v>
      </c>
      <c r="C594">
        <v>7</v>
      </c>
      <c r="D594" t="s">
        <v>26</v>
      </c>
      <c r="E594" s="2">
        <v>8870000</v>
      </c>
      <c r="F594" s="2">
        <v>721906.21</v>
      </c>
      <c r="G594" s="2">
        <v>469269.75</v>
      </c>
      <c r="H594" s="2">
        <v>226392.44</v>
      </c>
      <c r="I594" s="2">
        <v>15573.01</v>
      </c>
      <c r="J594">
        <v>65</v>
      </c>
      <c r="K594">
        <v>4</v>
      </c>
      <c r="L594">
        <v>98</v>
      </c>
      <c r="M594">
        <v>4</v>
      </c>
      <c r="N594">
        <v>18</v>
      </c>
      <c r="O594" s="2">
        <v>96252.160000000003</v>
      </c>
      <c r="P594" s="2">
        <v>102.16</v>
      </c>
      <c r="Q594" s="2">
        <v>112.17</v>
      </c>
    </row>
    <row r="595" spans="1:17" x14ac:dyDescent="0.45">
      <c r="A595" s="1">
        <v>45383</v>
      </c>
      <c r="B595">
        <v>2024</v>
      </c>
      <c r="C595">
        <v>7</v>
      </c>
      <c r="D595" t="s">
        <v>17</v>
      </c>
      <c r="E595" s="2">
        <v>8094000</v>
      </c>
      <c r="F595" s="2">
        <v>650276.49</v>
      </c>
      <c r="G595" s="2">
        <v>379413.52</v>
      </c>
      <c r="H595" s="2">
        <v>253504.06</v>
      </c>
      <c r="I595" s="2">
        <v>29622.06</v>
      </c>
      <c r="J595">
        <v>46</v>
      </c>
      <c r="K595">
        <v>4</v>
      </c>
      <c r="L595">
        <v>73</v>
      </c>
      <c r="M595">
        <v>3</v>
      </c>
      <c r="N595">
        <v>18</v>
      </c>
      <c r="O595" s="2">
        <v>58703.09</v>
      </c>
      <c r="P595" s="2">
        <v>100.9</v>
      </c>
      <c r="Q595" s="2">
        <v>112.17</v>
      </c>
    </row>
    <row r="596" spans="1:17" x14ac:dyDescent="0.45">
      <c r="A596" s="1">
        <v>44743</v>
      </c>
      <c r="B596">
        <v>2022</v>
      </c>
      <c r="C596">
        <v>10</v>
      </c>
      <c r="D596" t="s">
        <v>27</v>
      </c>
      <c r="E596" s="2">
        <v>25875000</v>
      </c>
      <c r="F596" s="2">
        <v>2440975.98</v>
      </c>
      <c r="G596" s="2">
        <v>1799287.81</v>
      </c>
      <c r="H596" s="2">
        <v>493012.99</v>
      </c>
      <c r="I596" s="2">
        <v>53718.35</v>
      </c>
      <c r="J596">
        <v>215</v>
      </c>
      <c r="K596">
        <v>17</v>
      </c>
      <c r="L596">
        <v>872</v>
      </c>
      <c r="M596">
        <v>8</v>
      </c>
      <c r="N596">
        <v>34</v>
      </c>
      <c r="O596" s="2">
        <v>662709.02</v>
      </c>
      <c r="P596" s="2">
        <v>105.79</v>
      </c>
      <c r="Q596" s="2">
        <v>104.96</v>
      </c>
    </row>
    <row r="597" spans="1:17" x14ac:dyDescent="0.45">
      <c r="A597" s="1">
        <v>44317</v>
      </c>
      <c r="B597">
        <v>2021</v>
      </c>
      <c r="C597">
        <v>8</v>
      </c>
      <c r="D597" t="s">
        <v>19</v>
      </c>
      <c r="E597" s="2">
        <v>4800000</v>
      </c>
      <c r="F597" s="2">
        <v>396345.38</v>
      </c>
      <c r="G597" s="2">
        <v>332551.95</v>
      </c>
      <c r="H597" s="2">
        <v>56178.79</v>
      </c>
      <c r="I597" s="2">
        <v>3291.46</v>
      </c>
      <c r="J597">
        <v>37</v>
      </c>
      <c r="K597">
        <v>2</v>
      </c>
      <c r="L597">
        <v>0</v>
      </c>
      <c r="M597">
        <v>1</v>
      </c>
      <c r="N597">
        <v>13</v>
      </c>
      <c r="O597" s="2">
        <v>13621.32</v>
      </c>
      <c r="P597" s="2">
        <v>107.52</v>
      </c>
      <c r="Q597" s="2">
        <v>100.45</v>
      </c>
    </row>
    <row r="598" spans="1:17" x14ac:dyDescent="0.45">
      <c r="A598" s="1">
        <v>45566</v>
      </c>
      <c r="B598">
        <v>2025</v>
      </c>
      <c r="C598">
        <v>1</v>
      </c>
      <c r="D598" t="s">
        <v>18</v>
      </c>
      <c r="E598" s="2">
        <v>4016000</v>
      </c>
      <c r="F598" s="2">
        <v>350603.11</v>
      </c>
      <c r="G598" s="2">
        <v>301960.63</v>
      </c>
      <c r="H598" s="2">
        <v>45984.86</v>
      </c>
      <c r="I598" s="2">
        <v>4736.34</v>
      </c>
      <c r="J598">
        <v>29</v>
      </c>
      <c r="K598">
        <v>6</v>
      </c>
      <c r="L598">
        <v>32</v>
      </c>
      <c r="M598">
        <v>0</v>
      </c>
      <c r="N598">
        <v>12</v>
      </c>
      <c r="O598" s="2">
        <v>7405.16</v>
      </c>
      <c r="P598" s="2">
        <v>103.17</v>
      </c>
      <c r="Q598" s="2">
        <v>113.96</v>
      </c>
    </row>
    <row r="599" spans="1:17" x14ac:dyDescent="0.45">
      <c r="A599" s="1">
        <v>45717</v>
      </c>
      <c r="B599">
        <v>2025</v>
      </c>
      <c r="C599">
        <v>6</v>
      </c>
      <c r="D599" t="s">
        <v>17</v>
      </c>
      <c r="E599" s="2">
        <v>8377000</v>
      </c>
      <c r="F599" s="2">
        <v>659521.61</v>
      </c>
      <c r="G599" s="2">
        <v>365971.34</v>
      </c>
      <c r="H599" s="2">
        <v>251752.77</v>
      </c>
      <c r="I599" s="2">
        <v>42311.18</v>
      </c>
      <c r="J599">
        <v>45</v>
      </c>
      <c r="K599">
        <v>2</v>
      </c>
      <c r="L599">
        <v>48</v>
      </c>
      <c r="M599">
        <v>4</v>
      </c>
      <c r="N599">
        <v>15</v>
      </c>
      <c r="O599" s="2">
        <v>72823.16</v>
      </c>
      <c r="P599" s="2">
        <v>113.38</v>
      </c>
      <c r="Q599" s="2">
        <v>115.88</v>
      </c>
    </row>
    <row r="600" spans="1:17" x14ac:dyDescent="0.45">
      <c r="A600" s="1">
        <v>44256</v>
      </c>
      <c r="B600">
        <v>2021</v>
      </c>
      <c r="C600">
        <v>6</v>
      </c>
      <c r="D600" t="s">
        <v>19</v>
      </c>
      <c r="E600" s="2">
        <v>4800000</v>
      </c>
      <c r="F600" s="2">
        <v>406656.99</v>
      </c>
      <c r="G600" s="2">
        <v>344574.52</v>
      </c>
      <c r="H600" s="2">
        <v>60250.71</v>
      </c>
      <c r="I600" s="2">
        <v>2573.4499999999998</v>
      </c>
      <c r="J600">
        <v>36</v>
      </c>
      <c r="K600">
        <v>6</v>
      </c>
      <c r="L600">
        <v>56</v>
      </c>
      <c r="M600">
        <v>5</v>
      </c>
      <c r="N600">
        <v>18</v>
      </c>
      <c r="O600" s="2">
        <v>62622.48</v>
      </c>
      <c r="P600" s="2">
        <v>102.57</v>
      </c>
      <c r="Q600" s="2">
        <v>100.75</v>
      </c>
    </row>
    <row r="601" spans="1:17" x14ac:dyDescent="0.45">
      <c r="A601" s="1">
        <v>44835</v>
      </c>
      <c r="B601">
        <v>2023</v>
      </c>
      <c r="C601">
        <v>1</v>
      </c>
      <c r="D601" t="s">
        <v>17</v>
      </c>
      <c r="E601" s="2">
        <v>7820000</v>
      </c>
      <c r="F601" s="2">
        <v>617422.55000000005</v>
      </c>
      <c r="G601" s="2">
        <v>322267.94</v>
      </c>
      <c r="H601" s="2">
        <v>260630.5</v>
      </c>
      <c r="I601" s="2">
        <v>43628.28</v>
      </c>
      <c r="J601">
        <v>42</v>
      </c>
      <c r="K601">
        <v>5</v>
      </c>
      <c r="L601">
        <v>89</v>
      </c>
      <c r="M601">
        <v>2</v>
      </c>
      <c r="N601">
        <v>12</v>
      </c>
      <c r="O601" s="2">
        <v>43415.27</v>
      </c>
      <c r="P601" s="2">
        <v>108.82</v>
      </c>
      <c r="Q601" s="2">
        <v>106.01</v>
      </c>
    </row>
    <row r="602" spans="1:17" x14ac:dyDescent="0.45">
      <c r="A602" s="1">
        <v>45931</v>
      </c>
      <c r="B602">
        <v>2026</v>
      </c>
      <c r="C602">
        <v>1</v>
      </c>
      <c r="D602" t="s">
        <v>24</v>
      </c>
      <c r="E602" s="2">
        <v>16034000</v>
      </c>
      <c r="F602" s="2">
        <v>1456160.56</v>
      </c>
      <c r="G602" s="2">
        <v>671224.29</v>
      </c>
      <c r="H602" s="2">
        <v>493771.68</v>
      </c>
      <c r="I602" s="2">
        <v>297689.40000000002</v>
      </c>
      <c r="J602">
        <v>84</v>
      </c>
      <c r="K602">
        <v>9</v>
      </c>
      <c r="L602">
        <v>100</v>
      </c>
      <c r="M602">
        <v>6</v>
      </c>
      <c r="N602">
        <v>21</v>
      </c>
      <c r="O602" s="2">
        <v>171138.31</v>
      </c>
      <c r="P602" s="2">
        <v>118.26</v>
      </c>
      <c r="Q602" s="2">
        <v>118.44</v>
      </c>
    </row>
    <row r="603" spans="1:17" x14ac:dyDescent="0.45">
      <c r="A603" s="1">
        <v>44927</v>
      </c>
      <c r="B603">
        <v>2023</v>
      </c>
      <c r="C603">
        <v>4</v>
      </c>
      <c r="D603" t="s">
        <v>19</v>
      </c>
      <c r="E603" s="2">
        <v>5142000</v>
      </c>
      <c r="F603" s="2">
        <v>415251.87</v>
      </c>
      <c r="G603" s="2">
        <v>355733.68</v>
      </c>
      <c r="H603" s="2">
        <v>60862.22</v>
      </c>
      <c r="I603" s="2">
        <v>7392.52</v>
      </c>
      <c r="J603">
        <v>38</v>
      </c>
      <c r="K603">
        <v>4</v>
      </c>
      <c r="L603">
        <v>58</v>
      </c>
      <c r="M603">
        <v>1</v>
      </c>
      <c r="N603">
        <v>10</v>
      </c>
      <c r="O603" s="2">
        <v>12126.14</v>
      </c>
      <c r="P603" s="2">
        <v>107.48</v>
      </c>
      <c r="Q603" s="2">
        <v>107.04</v>
      </c>
    </row>
    <row r="604" spans="1:17" x14ac:dyDescent="0.45">
      <c r="A604" s="1">
        <v>45809</v>
      </c>
      <c r="B604">
        <v>2025</v>
      </c>
      <c r="C604">
        <v>9</v>
      </c>
      <c r="D604" t="s">
        <v>22</v>
      </c>
      <c r="E604" s="2">
        <v>7115000</v>
      </c>
      <c r="F604" s="2">
        <v>763905.65</v>
      </c>
      <c r="G604" s="2">
        <v>296126.63</v>
      </c>
      <c r="H604" s="2">
        <v>257809.77</v>
      </c>
      <c r="I604" s="2">
        <v>201344.32</v>
      </c>
      <c r="J604">
        <v>32</v>
      </c>
      <c r="K604">
        <v>0</v>
      </c>
      <c r="L604">
        <v>49</v>
      </c>
      <c r="M604">
        <v>2</v>
      </c>
      <c r="N604">
        <v>15</v>
      </c>
      <c r="O604" s="2">
        <v>44716.160000000003</v>
      </c>
      <c r="P604" s="2">
        <v>117.09</v>
      </c>
      <c r="Q604" s="2">
        <v>116.65</v>
      </c>
    </row>
    <row r="605" spans="1:17" x14ac:dyDescent="0.45">
      <c r="A605" s="1">
        <v>44287</v>
      </c>
      <c r="B605">
        <v>2021</v>
      </c>
      <c r="C605">
        <v>7</v>
      </c>
      <c r="D605" t="s">
        <v>23</v>
      </c>
      <c r="E605" s="2">
        <v>19000000</v>
      </c>
      <c r="F605" s="2">
        <v>1578515.43</v>
      </c>
      <c r="G605" s="2">
        <v>705662.57</v>
      </c>
      <c r="H605" s="2">
        <v>857084.65</v>
      </c>
      <c r="I605" s="2">
        <v>44105.33</v>
      </c>
      <c r="J605">
        <v>92</v>
      </c>
      <c r="K605">
        <v>8</v>
      </c>
      <c r="L605">
        <v>332</v>
      </c>
      <c r="M605">
        <v>8</v>
      </c>
      <c r="N605">
        <v>31</v>
      </c>
      <c r="O605" s="2">
        <v>444515.59</v>
      </c>
      <c r="P605" s="2">
        <v>103.57</v>
      </c>
      <c r="Q605" s="2">
        <v>101.11</v>
      </c>
    </row>
    <row r="606" spans="1:17" x14ac:dyDescent="0.45">
      <c r="A606" s="1">
        <v>44774</v>
      </c>
      <c r="B606">
        <v>2022</v>
      </c>
      <c r="C606">
        <v>11</v>
      </c>
      <c r="D606" t="s">
        <v>19</v>
      </c>
      <c r="E606" s="2">
        <v>4968000</v>
      </c>
      <c r="F606" s="2">
        <v>426539.45</v>
      </c>
      <c r="G606" s="2">
        <v>352697.04</v>
      </c>
      <c r="H606" s="2">
        <v>64011.42</v>
      </c>
      <c r="I606" s="2">
        <v>8524.5499999999993</v>
      </c>
      <c r="J606">
        <v>36</v>
      </c>
      <c r="K606">
        <v>3</v>
      </c>
      <c r="L606">
        <v>59</v>
      </c>
      <c r="M606">
        <v>2</v>
      </c>
      <c r="N606">
        <v>17</v>
      </c>
      <c r="O606" s="2">
        <v>34424.75</v>
      </c>
      <c r="P606" s="2">
        <v>107.87</v>
      </c>
      <c r="Q606" s="2">
        <v>105.9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06E65-FD88-4271-B8A8-CB0DC1E75097}">
  <dimension ref="A1:D9"/>
  <sheetViews>
    <sheetView tabSelected="1" topLeftCell="B1" zoomScaleNormal="100" workbookViewId="0">
      <selection activeCell="A7" sqref="A7"/>
    </sheetView>
  </sheetViews>
  <sheetFormatPr defaultRowHeight="14.25" x14ac:dyDescent="0.45"/>
  <cols>
    <col min="1" max="1" width="12.3984375" customWidth="1"/>
    <col min="2" max="2" width="155.19921875" bestFit="1" customWidth="1"/>
    <col min="4" max="4" width="8.9296875" bestFit="1" customWidth="1"/>
    <col min="5" max="5" width="9.53125" bestFit="1" customWidth="1"/>
    <col min="6" max="6" width="11.1328125" bestFit="1" customWidth="1"/>
    <col min="7" max="7" width="23.73046875" bestFit="1" customWidth="1"/>
    <col min="8" max="8" width="20.6640625" bestFit="1" customWidth="1"/>
    <col min="9" max="9" width="15.86328125" bestFit="1" customWidth="1"/>
    <col min="10" max="10" width="13.06640625" bestFit="1" customWidth="1"/>
    <col min="11" max="11" width="12.9296875" bestFit="1" customWidth="1"/>
    <col min="12" max="12" width="10.796875" bestFit="1" customWidth="1"/>
    <col min="13" max="13" width="13.1328125" bestFit="1" customWidth="1"/>
    <col min="14" max="14" width="14.265625" bestFit="1" customWidth="1"/>
    <col min="15" max="15" width="13.46484375" bestFit="1" customWidth="1"/>
    <col min="16" max="16" width="12.6640625" bestFit="1" customWidth="1"/>
    <col min="17" max="17" width="19.19921875" bestFit="1" customWidth="1"/>
    <col min="18" max="18" width="17.73046875" bestFit="1" customWidth="1"/>
    <col min="19" max="19" width="13.86328125" bestFit="1" customWidth="1"/>
    <col min="20" max="20" width="8.3984375" bestFit="1" customWidth="1"/>
  </cols>
  <sheetData>
    <row r="1" spans="1:4" ht="23.25" x14ac:dyDescent="0.7">
      <c r="A1" s="4" t="s">
        <v>30</v>
      </c>
      <c r="B1" s="5"/>
      <c r="C1" s="3"/>
      <c r="D1" s="3"/>
    </row>
    <row r="2" spans="1:4" x14ac:dyDescent="0.45">
      <c r="A2" s="6" t="e" cm="1" vm="1">
        <f t="array" ref="A2">_xlfn._xlws.PY(0,1,Deparment_Spending[#All])</f>
        <v>#VALUE!</v>
      </c>
      <c r="B2" s="6" t="s">
        <v>32</v>
      </c>
    </row>
    <row r="3" spans="1:4" x14ac:dyDescent="0.45">
      <c r="A3" s="6" t="e" cm="1" vm="1">
        <f t="array" ref="A3">_xlfn._xlws.PY(1,1)</f>
        <v>#VALUE!</v>
      </c>
      <c r="B3" s="6" t="s">
        <v>34</v>
      </c>
    </row>
    <row r="4" spans="1:4" x14ac:dyDescent="0.45">
      <c r="A4" s="6" t="e" cm="1" vm="1">
        <f t="array" ref="A4">_xlfn._xlws.PY(2,1)</f>
        <v>#VALUE!</v>
      </c>
      <c r="B4" s="6" t="s">
        <v>33</v>
      </c>
    </row>
    <row r="5" spans="1:4" ht="23.75" customHeight="1" x14ac:dyDescent="0.45">
      <c r="A5" s="7" t="e" cm="1" vm="1">
        <f t="array" ref="A5">_xlfn._xlws.PY(3,1)</f>
        <v>#VALUE!</v>
      </c>
      <c r="B5" s="9" t="s">
        <v>35</v>
      </c>
    </row>
    <row r="6" spans="1:4" ht="23.75" customHeight="1" x14ac:dyDescent="0.45">
      <c r="A6" s="8"/>
      <c r="B6" s="10"/>
    </row>
    <row r="7" spans="1:4" x14ac:dyDescent="0.45">
      <c r="A7" t="e" cm="1" vm="1">
        <f t="array" ref="A7">_xlfn._xlws.PY(4,1)</f>
        <v>#VALUE!</v>
      </c>
    </row>
    <row r="9" spans="1:4" x14ac:dyDescent="0.45">
      <c r="D9" t="e" cm="1" vm="1">
        <f t="array" ref="D9">_xlfn._xlws.PY(5,0)</f>
        <v>#VALUE!</v>
      </c>
    </row>
  </sheetData>
  <mergeCells count="3">
    <mergeCell ref="A1:B1"/>
    <mergeCell ref="B5:B6"/>
    <mergeCell ref="A5:A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32C3E97-B749-4B6D-8A64-E0E14A999A80}">
  <ds:schemaRefs/>
</ds:datastoreItem>
</file>

<file path=customXml/itemProps2.xml><?xml version="1.0" encoding="utf-8"?>
<ds:datastoreItem xmlns:ds="http://schemas.openxmlformats.org/officeDocument/2006/customXml" ds:itemID="{DC81E574-C32F-4DD6-8611-B265F87F73C5}">
  <ds:schemaRefs/>
</ds:datastoreItem>
</file>

<file path=customXml/itemProps3.xml><?xml version="1.0" encoding="utf-8"?>
<ds:datastoreItem xmlns:ds="http://schemas.openxmlformats.org/officeDocument/2006/customXml" ds:itemID="{68EA5852-647B-4960-B0BA-DDA8C6546C8F}">
  <ds:schemaRefs/>
</ds:datastoreItem>
</file>

<file path=customXml/itemProps4.xml><?xml version="1.0" encoding="utf-8"?>
<ds:datastoreItem xmlns:ds="http://schemas.openxmlformats.org/officeDocument/2006/customXml" ds:itemID="{61C7F2CD-96A7-4B99-AEF4-91A0CDD76B38}">
  <ds:schemaRefs/>
</ds:datastoreItem>
</file>

<file path=customXml/itemProps5.xml><?xml version="1.0" encoding="utf-8"?>
<ds:datastoreItem xmlns:ds="http://schemas.openxmlformats.org/officeDocument/2006/customXml" ds:itemID="{3E2590FD-60DA-421B-B7BF-A215FD37571E}">
  <ds:schemaRefs/>
</ds:datastoreItem>
</file>

<file path=customXml/itemProps6.xml><?xml version="1.0" encoding="utf-8"?>
<ds:datastoreItem xmlns:ds="http://schemas.openxmlformats.org/officeDocument/2006/customXml" ds:itemID="{D4953C9F-2463-4851-A545-EF425A880A20}">
  <ds:schemaRefs/>
</ds:datastoreItem>
</file>

<file path=customXml/itemProps7.xml><?xml version="1.0" encoding="utf-8"?>
<ds:datastoreItem xmlns:ds="http://schemas.openxmlformats.org/officeDocument/2006/customXml" ds:itemID="{8B9AC528-C450-435F-9CA8-6929E76D14CA}">
  <ds:schemaRefs/>
</ds:datastoreItem>
</file>

<file path=customXml/itemProps8.xml><?xml version="1.0" encoding="utf-8"?>
<ds:datastoreItem xmlns:ds="http://schemas.openxmlformats.org/officeDocument/2006/customXml" ds:itemID="{78A1A77F-7C8B-4B9B-AB7F-23C021404877}">
  <ds:schemaRefs/>
</ds:datastoreItem>
</file>

<file path=customXml/itemProps9.xml><?xml version="1.0" encoding="utf-8"?>
<ds:datastoreItem xmlns:ds="http://schemas.openxmlformats.org/officeDocument/2006/customXml" ds:itemID="{2CB24FF9-E1B5-4C21-9FD4-D149AE312AF2}">
  <ds:schemaRefs>
    <ds:schemaRef ds:uri="http://schemas.microsoft.com/DataMashup"/>
  </ds:schemaRefs>
</ds:datastoreItem>
</file>

<file path=customXml/itemProps10.xml><?xml version="1.0" encoding="utf-8"?>
<ds:datastoreItem xmlns:ds="http://schemas.openxmlformats.org/officeDocument/2006/customXml" ds:itemID="{D1136FC8-336F-4182-8309-3D9502D626BC}">
  <ds:schemaRefs/>
</ds:datastoreItem>
</file>

<file path=customXml/itemProps11.xml><?xml version="1.0" encoding="utf-8"?>
<ds:datastoreItem xmlns:ds="http://schemas.openxmlformats.org/officeDocument/2006/customXml" ds:itemID="{CFFFD737-9B81-4556-8CDE-05E733324918}">
  <ds:schemaRefs/>
</ds:datastoreItem>
</file>

<file path=customXml/itemProps12.xml><?xml version="1.0" encoding="utf-8"?>
<ds:datastoreItem xmlns:ds="http://schemas.openxmlformats.org/officeDocument/2006/customXml" ds:itemID="{E016D1FE-0E5F-42E2-8444-F5B548F56C65}">
  <ds:schemaRefs/>
</ds:datastoreItem>
</file>

<file path=customXml/itemProps13.xml><?xml version="1.0" encoding="utf-8"?>
<ds:datastoreItem xmlns:ds="http://schemas.openxmlformats.org/officeDocument/2006/customXml" ds:itemID="{FA81BA15-19AD-4C38-A24B-F6E09A4BEDAD}">
  <ds:schemaRefs/>
</ds:datastoreItem>
</file>

<file path=customXml/itemProps14.xml><?xml version="1.0" encoding="utf-8"?>
<ds:datastoreItem xmlns:ds="http://schemas.openxmlformats.org/officeDocument/2006/customXml" ds:itemID="{43DD7CA3-B4F6-4E9B-9F5A-92F57FF747D9}">
  <ds:schemaRefs/>
</ds:datastoreItem>
</file>

<file path=customXml/itemProps15.xml><?xml version="1.0" encoding="utf-8"?>
<ds:datastoreItem xmlns:ds="http://schemas.openxmlformats.org/officeDocument/2006/customXml" ds:itemID="{64E1177C-546C-4A33-987F-3593A74A3653}">
  <ds:schemaRefs/>
</ds:datastoreItem>
</file>

<file path=customXml/itemProps16.xml><?xml version="1.0" encoding="utf-8"?>
<ds:datastoreItem xmlns:ds="http://schemas.openxmlformats.org/officeDocument/2006/customXml" ds:itemID="{5FAE299B-326B-43C5-81D3-E1B9123F6469}">
  <ds:schemaRefs/>
</ds:datastoreItem>
</file>

<file path=customXml/itemProps17.xml><?xml version="1.0" encoding="utf-8"?>
<ds:datastoreItem xmlns:ds="http://schemas.openxmlformats.org/officeDocument/2006/customXml" ds:itemID="{5D1F7AD5-914B-4DCA-A28A-91C9FB61873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Deparment_Spending</vt:lpstr>
      <vt:lpstr>Cleaned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John</dc:creator>
  <cp:lastModifiedBy>Robin John</cp:lastModifiedBy>
  <dcterms:created xsi:type="dcterms:W3CDTF">2026-10-17T01:50:57Z</dcterms:created>
  <dcterms:modified xsi:type="dcterms:W3CDTF">2026-10-17T03:26:03Z</dcterms:modified>
</cp:coreProperties>
</file>