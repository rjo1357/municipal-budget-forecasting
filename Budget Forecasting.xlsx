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Z:\Data Projects\Analytics Projects\Machine Learning\Municipal Budget Forecasting\"/>
    </mc:Choice>
  </mc:AlternateContent>
  <xr:revisionPtr revIDLastSave="0" documentId="13_ncr:1_{D92D3B3D-A79F-4672-A5FA-99BB6CAE3B1D}" xr6:coauthVersionLast="47" xr6:coauthVersionMax="47" xr10:uidLastSave="{00000000-0000-0000-0000-000000000000}"/>
  <bookViews>
    <workbookView xWindow="-98" yWindow="-98" windowWidth="26116" windowHeight="15736" activeTab="1" xr2:uid="{DCEE206C-1916-46C7-8543-6A405BD44B34}"/>
  </bookViews>
  <sheets>
    <sheet name="Deparment_Spending" sheetId="2" r:id="rId1"/>
    <sheet name="Cleaned Data" sheetId="3" r:id="rId2"/>
  </sheets>
  <definedNames>
    <definedName name="_xlcn.WorksheetConnection_BudgetForecasting.xlsxDeparment_Spending" hidden="1">Deparment_Spending[]</definedName>
    <definedName name="ExternalData_1" localSheetId="0" hidden="1">Deparment_Spending!$A$1:$Q$606</definedName>
  </definedName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eparment_Spending" name="Deparment_Spending" connection="WorksheetConnection_Budget Forecasting.xlsx!Deparment_Spending"/>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3" l="1" a="1"/>
  <c r="A3" i="3" a="1"/>
  <c r="A4" i="3" a="1"/>
  <c r="A5" i="3" a="1"/>
  <c r="A7" i="3" a="1"/>
  <c r="A8" i="3" a="1"/>
  <c r="A9" i="3" a="1"/>
  <c r="A9" i="3" l="1"/>
  <c r="A8" i="3"/>
  <c r="A7" i="3"/>
  <c r="A5" i="3"/>
  <c r="A4" i="3"/>
  <c r="A3" i="3"/>
  <c r="A2" i="3"/>
  <c r="D9" i="3" a="1"/>
  <c r="D9"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CE33022-D495-4F5E-B231-DE9CAA083EED}" keepAlive="1" name="Query - Deparment_Spending" description="Connection to the 'Deparment_Spending' query in the workbook." type="5" refreshedVersion="8" background="1" saveData="1">
    <dbPr connection="Provider=Microsoft.Mashup.OleDb.1;Data Source=$Workbook$;Location=Deparment_Spending;Extended Properties=&quot;&quot;" command="SELECT * FROM [Deparment_Spending]"/>
  </connection>
  <connection id="2" xr16:uid="{6BE4B9F2-CBDC-4CEC-B11E-9D16C7D8FE1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AD4BEE84-6836-4BE4-8D46-E2052C767ED9}" name="WorksheetConnection_Budget Forecasting.xlsx!Deparment_Spending" type="102" refreshedVersion="8" minRefreshableVersion="5">
    <extLst>
      <ext xmlns:x15="http://schemas.microsoft.com/office/spreadsheetml/2010/11/main" uri="{DE250136-89BD-433C-8126-D09CA5730AF9}">
        <x15:connection id="Deparment_Spending">
          <x15:rangePr sourceName="_xlcn.WorksheetConnection_BudgetForecasting.xlsxDeparment_Spending"/>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12"/>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futureMetadata>
  <cellMetadata count="1">
    <bk>
      <rc t="1" v="0"/>
    </bk>
  </cellMetadata>
  <valueMetadata count="5">
    <bk>
      <rc t="2" v="0"/>
    </bk>
    <bk>
      <rc t="2" v="1"/>
    </bk>
    <bk>
      <rc t="2" v="2"/>
    </bk>
    <bk>
      <rc t="2" v="3"/>
    </bk>
    <bk>
      <rc t="2" v="4"/>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 xml:space="preserve">import pandas as pd
import numpy as np
import datetime as dt
from sklearn.linear_model import LinearRegression
from sklearn.metrics import mean_absolute_error, mean_squared_error, r2_score
from sklearn.preprocessing import StandardScaler
from sklearn.pipeline import Pipeline
from sklearn.dummy import DummyRegressor
from sklearn.model_selection import train_test_split
df = xl(%P2%, headers=True)
</code>
    </pythonScript>
    <pythonScript>
      <code>df['Vacant_Positions'] = df['Vacant_Positions'].fillna(df['Vacant_Positions'].mean().round())
df['Overtime_Hours'] = df['Overtime_Hours'].fillna(df['Overtime_Hours'].mean().round())
df['Encumbered_Amount'] = df['Encumbered_Amount'].fillna(df['Encumbered_Amount'].mean().round())</code>
    </pythonScript>
    <pythonScript>
      <code>df['Month'] = df['Date'].dt.month_name()
df = df.sort_values(by='Date', ascending=True).reset_index(drop=True)
df = df.drop(columns='Date')</code>
    </pythonScript>
    <pythonScript>
      <code>df = pd.get_dummies(df, columns=['Month'], dtype=int).drop(columns='Month_October')</code>
    </pythonScript>
    <pythonScript>
      <code>df = pd.get_dummies(df, columns=['Department'], dtype=int).drop(columns='Department_HUMAN RESOURCES')</code>
    </pythonScript>
    <pythonScript>
      <code>X = df.drop(columns=['Actual_Expenditure', 'Personnel_Cost', 'Operating_Cost', 'Capital_Cost'])
y = df['Actual_Expenditure']
X_train, X_test, y_train, y_test = train_test_split(X, y, shuffle=False, test_size=.30)
naive_model = DummyRegressor()
naive_model.fit(X_train,y_train)
naive_y_pred = naive_model.predict(X_test)
naive_mae = mean_absolute_error(y_test, naive_y_pred)
naive_mse = mean_squared_error(y_test, naive_y_pred)
naive_rmse = np.sqrt(naive_mse)
naive_r2 = r2_score(y_test, naive_y_pred)
print(f'Naive Mean Absolute Error Baseline: {naive_mae:.2f}')
print(f'Naive Mean Squared Error Baseline: {naive_mse:.2f}')
print(f'Naive Root Mean Squared Error Baseline: {naive_rmse:.2f}')
print(f'Naive r2 Baseline: {naive_r2:.4f}')</code>
    </pythonScript>
    <pythonScript>
      <code>lr_model = Pipeline([
    ('scale', StandardScaler()), 
    ('model', LinearRegression())
    ])
lr_model.fit(X_train,y_train)
y_pred = lr_model.predict(X_test)
mae = mean_absolute_error(y_test, y_pred)
mse = mean_squared_error(y_test, y_pred)
rmse = np.sqrt(mse)
r2 = r2_score(y_test, y_pred)
print(f'Mean Absolute Error: {mae:.2f}')
print(f'Mean Squared Error: {mse:.2f}')
print(f'Root Mean Squared Error: {rmse:.2f}')
print(f'r2: {r2:.4f}')</code>
    </pythonScript>
    <pythonScript>
      <code>df</code>
    </pythonScript>
  </pythonScripts>
</python>
</file>

<file path=xl/sharedStrings.xml><?xml version="1.0" encoding="utf-8"?>
<sst xmlns="http://schemas.openxmlformats.org/spreadsheetml/2006/main" count="627" uniqueCount="36">
  <si>
    <t>Fiscal_Year</t>
  </si>
  <si>
    <t>Fiscal_Month</t>
  </si>
  <si>
    <t>Department</t>
  </si>
  <si>
    <t>Annual_Approved_Budget</t>
  </si>
  <si>
    <t>Actual_Expenditure</t>
  </si>
  <si>
    <t>Personnel_Cost</t>
  </si>
  <si>
    <t>Operating_Cost</t>
  </si>
  <si>
    <t>Capital_Cost</t>
  </si>
  <si>
    <t>Filled_Positions</t>
  </si>
  <si>
    <t>Vacant_Positions</t>
  </si>
  <si>
    <t>Overtime_Hours</t>
  </si>
  <si>
    <t>Active_Projects</t>
  </si>
  <si>
    <t>Open_Purchase_Orders</t>
  </si>
  <si>
    <t>Encumbered_Amount</t>
  </si>
  <si>
    <t>Fuel_Price_Index</t>
  </si>
  <si>
    <t>CPI_Index</t>
  </si>
  <si>
    <t>IT</t>
  </si>
  <si>
    <t>GENERAL SERVICES</t>
  </si>
  <si>
    <t>HUMAN RESOURCES</t>
  </si>
  <si>
    <t>FINANCE</t>
  </si>
  <si>
    <t xml:space="preserve">PUBLIC WORKS </t>
  </si>
  <si>
    <t>PARKS &amp; RECREATION</t>
  </si>
  <si>
    <t>INFORMATION TECHNOLOGY</t>
  </si>
  <si>
    <t>UTILITIES</t>
  </si>
  <si>
    <t>PUBLIC WORKS</t>
  </si>
  <si>
    <t>PLANNING &amp; ZONING</t>
  </si>
  <si>
    <t>PARKS AND RECREATION</t>
  </si>
  <si>
    <t>POLICE</t>
  </si>
  <si>
    <t>FIRE RESCUE</t>
  </si>
  <si>
    <t>FIRE &amp; RESCUE</t>
  </si>
  <si>
    <t>Cleaning Steps</t>
  </si>
  <si>
    <t>Date</t>
  </si>
  <si>
    <t>#1 Read in data into Python and created dataframe</t>
  </si>
  <si>
    <r>
      <t>#3 Forcasting model cannot natively handle date data types. So I extracted month name from date and removed date column from dataset(</t>
    </r>
    <r>
      <rPr>
        <b/>
        <sz val="11"/>
        <color theme="1"/>
        <rFont val="Aptos Narrow"/>
        <family val="2"/>
        <scheme val="minor"/>
      </rPr>
      <t xml:space="preserve">Modified Columns: </t>
    </r>
    <r>
      <rPr>
        <b/>
        <sz val="11"/>
        <color rgb="FF0000FF"/>
        <rFont val="Aptos Narrow"/>
        <family val="2"/>
        <scheme val="minor"/>
      </rPr>
      <t>Date and Month)</t>
    </r>
    <r>
      <rPr>
        <sz val="11"/>
        <color theme="1"/>
        <rFont val="Aptos Narrow"/>
        <family val="2"/>
        <scheme val="minor"/>
      </rPr>
      <t>.</t>
    </r>
  </si>
  <si>
    <r>
      <t>#2 Forcasting model cannot natively handle missing values. Imputing the mean/average by column (</t>
    </r>
    <r>
      <rPr>
        <b/>
        <sz val="11"/>
        <color theme="1"/>
        <rFont val="Aptos Narrow"/>
        <family val="2"/>
        <scheme val="minor"/>
      </rPr>
      <t>Modified Columns:</t>
    </r>
    <r>
      <rPr>
        <sz val="11"/>
        <color theme="1"/>
        <rFont val="Aptos Narrow"/>
        <family val="2"/>
        <scheme val="minor"/>
      </rPr>
      <t xml:space="preserve"> </t>
    </r>
    <r>
      <rPr>
        <b/>
        <sz val="11"/>
        <color rgb="FF0000FF"/>
        <rFont val="Aptos Narrow"/>
        <family val="2"/>
        <scheme val="minor"/>
      </rPr>
      <t>Vacant_Positions, Overtime_Hours and Emcumbered_Amount</t>
    </r>
    <r>
      <rPr>
        <sz val="11"/>
        <color theme="1"/>
        <rFont val="Aptos Narrow"/>
        <family val="2"/>
        <scheme val="minor"/>
      </rPr>
      <t xml:space="preserve">). </t>
    </r>
  </si>
  <si>
    <r>
      <t>#4 Forcasting model cannot natively handle month names. The Month column will be transformed into multiple binary columns, and October will dropped whihc will be our basline.
This also prevents perfect multicollinearity, which can make model coefficients unstable when columns are highly dependent on one another. (</t>
    </r>
    <r>
      <rPr>
        <b/>
        <sz val="11"/>
        <color theme="1"/>
        <rFont val="Aptos Narrow"/>
        <family val="2"/>
        <scheme val="minor"/>
      </rPr>
      <t>Modified Columns:</t>
    </r>
    <r>
      <rPr>
        <sz val="11"/>
        <color theme="1"/>
        <rFont val="Aptos Narrow"/>
        <family val="2"/>
        <scheme val="minor"/>
      </rPr>
      <t xml:space="preserve"> </t>
    </r>
    <r>
      <rPr>
        <b/>
        <sz val="11"/>
        <color rgb="FF0000FF"/>
        <rFont val="Aptos Narrow"/>
        <family val="2"/>
        <scheme val="minor"/>
      </rPr>
      <t>Month and various new columns derived from the month column</t>
    </r>
    <r>
      <rPr>
        <sz val="11"/>
        <color theme="1"/>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</si>
</sst>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4" x14ac:knownFonts="1">
    <font>
      <sz val="11"/>
      <color theme="1"/>
      <name val="Aptos Narrow"/>
      <family val="2"/>
      <scheme val="minor"/>
    </font>
    <font>
      <b/>
      <sz val="11"/>
      <color theme="1"/>
      <name val="Aptos Narrow"/>
      <family val="2"/>
      <scheme val="minor"/>
    </font>
    <font>
      <b/>
      <sz val="18"/>
      <color theme="1"/>
      <name val="Aptos Narrow"/>
      <family val="2"/>
      <scheme val="minor"/>
    </font>
    <font>
      <b/>
      <sz val="11"/>
      <color rgb="FF0000FF"/>
      <name val="Aptos Narrow"/>
      <family val="2"/>
      <scheme val="minor"/>
    </font>
  </fonts>
  <fills count="2">
    <fill>
      <patternFill patternType="none"/>
    </fill>
    <fill>
      <patternFill patternType="gray125"/>
    </fill>
  </fills>
  <borders count="6">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
    <xf numFmtId="0" fontId="0" fillId="0" borderId="0" xfId="0"/>
    <xf numFmtId="14" fontId="0" fillId="0" borderId="0" xfId="0" applyNumberFormat="1"/>
    <xf numFmtId="164" fontId="0" fillId="0" borderId="0" xfId="0" applyNumberFormat="1"/>
    <xf numFmtId="0" fontId="2" fillId="0" borderId="0" xfId="0" applyFont="1"/>
    <xf numFmtId="0" fontId="0" fillId="0" borderId="3" xfId="0" applyBorder="1"/>
    <xf numFmtId="0" fontId="2" fillId="0" borderId="1" xfId="0" applyFont="1" applyBorder="1" applyAlignment="1">
      <alignment horizontal="left"/>
    </xf>
    <xf numFmtId="0" fontId="2" fillId="0" borderId="2" xfId="0" applyFont="1" applyBorder="1" applyAlignment="1">
      <alignment horizontal="left"/>
    </xf>
    <xf numFmtId="0" fontId="0" fillId="0" borderId="4" xfId="0" applyBorder="1" applyAlignment="1">
      <alignment horizontal="left" vertical="top" wrapText="1"/>
    </xf>
    <xf numFmtId="0" fontId="0" fillId="0" borderId="5" xfId="0" applyBorder="1" applyAlignment="1">
      <alignment horizontal="left" vertical="top"/>
    </xf>
    <xf numFmtId="0" fontId="0" fillId="0" borderId="4" xfId="0" applyBorder="1" applyAlignment="1">
      <alignment horizontal="center" vertical="center"/>
    </xf>
    <xf numFmtId="0" fontId="0" fillId="0" borderId="5" xfId="0" applyBorder="1" applyAlignment="1">
      <alignment horizontal="center" vertical="center"/>
    </xf>
  </cellXfs>
  <cellStyles count="1">
    <cellStyle name="Normal" xfId="0" builtinId="0"/>
  </cellStyles>
  <dxfs count="10">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0" formatCode="General"/>
    </dxf>
    <dxf>
      <numFmt numFmtId="19" formatCode="m/d/yyyy"/>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17/06/relationships/rdSupportingPropertyBag" Target="richData/rdsupportingpropertybag.xml"/><Relationship Id="rId18" Type="http://schemas.openxmlformats.org/officeDocument/2006/relationships/customXml" Target="../customXml/item2.xml"/><Relationship Id="rId26" Type="http://schemas.openxmlformats.org/officeDocument/2006/relationships/customXml" Target="../customXml/item10.xml"/><Relationship Id="rId3" Type="http://schemas.openxmlformats.org/officeDocument/2006/relationships/theme" Target="theme/theme1.xml"/><Relationship Id="rId21" Type="http://schemas.openxmlformats.org/officeDocument/2006/relationships/customXml" Target="../customXml/item5.xml"/><Relationship Id="rId34" Type="http://schemas.microsoft.com/office/2023/09/relationships/Python" Target="python.xml"/><Relationship Id="rId7" Type="http://schemas.openxmlformats.org/officeDocument/2006/relationships/sheetMetadata" Target="metadata.xml"/><Relationship Id="rId12" Type="http://schemas.microsoft.com/office/2017/06/relationships/rdSupportingPropertyBagStructure" Target="richData/rdsupportingpropertybagstructure.xml"/><Relationship Id="rId17" Type="http://schemas.openxmlformats.org/officeDocument/2006/relationships/customXml" Target="../customXml/item1.xml"/><Relationship Id="rId25" Type="http://schemas.openxmlformats.org/officeDocument/2006/relationships/customXml" Target="../customXml/item9.xml"/><Relationship Id="rId33" Type="http://schemas.openxmlformats.org/officeDocument/2006/relationships/customXml" Target="../customXml/item17.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29"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ichStyles" Target="richData/richStyles.xml"/><Relationship Id="rId24" Type="http://schemas.openxmlformats.org/officeDocument/2006/relationships/customXml" Target="../customXml/item8.xml"/><Relationship Id="rId32" Type="http://schemas.openxmlformats.org/officeDocument/2006/relationships/customXml" Target="../customXml/item16.xml"/><Relationship Id="rId5" Type="http://schemas.openxmlformats.org/officeDocument/2006/relationships/styles" Target="styles.xml"/><Relationship Id="rId15" Type="http://schemas.openxmlformats.org/officeDocument/2006/relationships/powerPivotData" Target="model/item.data"/><Relationship Id="rId23" Type="http://schemas.openxmlformats.org/officeDocument/2006/relationships/customXml" Target="../customXml/item7.xml"/><Relationship Id="rId28" Type="http://schemas.openxmlformats.org/officeDocument/2006/relationships/customXml" Target="../customXml/item12.xml"/><Relationship Id="rId10" Type="http://schemas.microsoft.com/office/2017/06/relationships/rdArray" Target="richData/rdarray.xml"/><Relationship Id="rId19" Type="http://schemas.openxmlformats.org/officeDocument/2006/relationships/customXml" Target="../customXml/item3.xml"/><Relationship Id="rId31" Type="http://schemas.openxmlformats.org/officeDocument/2006/relationships/customXml" Target="../customXml/item15.xml"/><Relationship Id="rId4" Type="http://schemas.openxmlformats.org/officeDocument/2006/relationships/connections" Target="connections.xml"/><Relationship Id="rId9" Type="http://schemas.microsoft.com/office/2017/06/relationships/rdRichValueStructure" Target="richData/rdrichvaluestructure.xml"/><Relationship Id="rId14" Type="http://schemas.microsoft.com/office/2017/06/relationships/rdRichValueTypes" Target="richData/rdRichValueTypes.xml"/><Relationship Id="rId22" Type="http://schemas.openxmlformats.org/officeDocument/2006/relationships/customXml" Target="../customXml/item6.xml"/><Relationship Id="rId27" Type="http://schemas.openxmlformats.org/officeDocument/2006/relationships/customXml" Target="../customXml/item11.xml"/><Relationship Id="rId30" Type="http://schemas.openxmlformats.org/officeDocument/2006/relationships/customXml" Target="../customXml/item14.xml"/><Relationship Id="rId8" Type="http://schemas.microsoft.com/office/2017/06/relationships/rdRichValue" Target="richData/rdrichvalue.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5F089A9-9D6E-49A1-B439-0399B2893216}" autoFormatId="16" applyNumberFormats="0" applyBorderFormats="0" applyFontFormats="0" applyPatternFormats="0" applyAlignmentFormats="0" applyWidthHeightFormats="0">
  <queryTableRefresh nextId="20">
    <queryTableFields count="17">
      <queryTableField id="18" name="Date" tableColumnId="18"/>
      <queryTableField id="2" name="Fiscal_Year" tableColumnId="2"/>
      <queryTableField id="3" name="Fiscal_Month" tableColumnId="3"/>
      <queryTableField id="4" name="Department" tableColumnId="4"/>
      <queryTableField id="5" name="Annual_Approved_Budget" tableColumnId="5"/>
      <queryTableField id="6" name="Actual_Expenditure" tableColumnId="6"/>
      <queryTableField id="7" name="Personnel_Cost" tableColumnId="7"/>
      <queryTableField id="8" name="Operating_Cost" tableColumnId="8"/>
      <queryTableField id="9" name="Capital_Cost" tableColumnId="9"/>
      <queryTableField id="10" name="Filled_Positions" tableColumnId="10"/>
      <queryTableField id="11" name="Vacant_Positions" tableColumnId="11"/>
      <queryTableField id="12" name="Overtime_Hours" tableColumnId="12"/>
      <queryTableField id="13" name="Active_Projects" tableColumnId="13"/>
      <queryTableField id="14" name="Open_Purchase_Orders" tableColumnId="14"/>
      <queryTableField id="15" name="Encumbered_Amount" tableColumnId="15"/>
      <queryTableField id="16" name="Fuel_Price_Index" tableColumnId="16"/>
      <queryTableField id="17" name="CPI_Index" tableColumnId="17"/>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4">
  <a r="12" c="12">
    <v t="s"/>
    <v t="s">Date</v>
    <v t="s">Fiscal_Year</v>
    <v t="s">Fiscal_Month</v>
    <v t="s">Department</v>
    <v t="s">Annual_Approved_Budget</v>
    <v t="s">...</v>
    <v t="s">Active_Projects</v>
    <v t="s">Open_Purchase_Orders</v>
    <v t="s">Encumbered_Amount</v>
    <v t="s">Fuel_Price_Index</v>
    <v t="s">CPI_Index</v>
    <v>0</v>
    <v t="r">0</v>
    <v>2022</v>
    <v>4</v>
    <v t="s">GENERAL SERVICES</v>
    <v>7555000</v>
    <v t="s">...</v>
    <v>3</v>
    <v>14</v>
    <v>68613.77</v>
    <v>108.45</v>
    <v>103.47</v>
    <v>1</v>
    <v t="r">1</v>
    <v>2024</v>
    <v>4</v>
    <v t="s">HUMAN RESOURCES</v>
    <v>3881000</v>
    <v t="s">...</v>
    <v>1</v>
    <v>11</v>
    <v>14662.3</v>
    <v>99.6</v>
    <v>110.55</v>
    <v>2</v>
    <v t="r">2</v>
    <v>2022</v>
    <v>5</v>
    <v t="s">FINANCE</v>
    <v>4968000</v>
    <v t="s">...</v>
    <v>2</v>
    <v>15</v>
    <v>33368.97</v>
    <v>111.89</v>
    <v>103.64</v>
    <v>3</v>
    <v t="r">3</v>
    <v>2023</v>
    <v>8</v>
    <v t="s" xml:space="preserve">PUBLIC WORKS </v>
    <v>14462000</v>
    <v t="s">...</v>
    <v>3</v>
    <v>25</v>
    <v>118378.8</v>
    <v>104.6</v>
    <v>108.34</v>
    <v>4</v>
    <v t="r">4</v>
    <v>2025</v>
    <v>10</v>
    <v t="s">PARKS &amp; RECREATION</v>
    <v>9180000</v>
    <v t="s">...</v>
    <v>4</v>
    <v>17</v>
    <v>116350.23</v>
    <v>116.57</v>
    <v>116.39</v>
    <v t="s">...</v>
    <v t="s">...</v>
    <v t="s">...</v>
    <v t="s">...</v>
    <v t="s">...</v>
    <v t="s">...</v>
    <v t="s">...</v>
    <v t="s">...</v>
    <v t="s">...</v>
    <v t="s">...</v>
    <v t="s">...</v>
    <v t="s">...</v>
    <v>600</v>
    <v t="r">5</v>
    <v>2026</v>
    <v>1</v>
    <v t="s">PUBLIC WORKS</v>
    <v>16034000</v>
    <v t="s">...</v>
    <v>6</v>
    <v>21</v>
    <v>171138.31</v>
    <v>118.26</v>
    <v>118.44</v>
    <v>601</v>
    <v t="r">6</v>
    <v>2023</v>
    <v>4</v>
    <v t="s">FINANCE</v>
    <v>5142000</v>
    <v t="s">...</v>
    <v>1</v>
    <v>10</v>
    <v>12126.14</v>
    <v>107.48</v>
    <v>107.04</v>
    <v>602</v>
    <v t="r">7</v>
    <v>2025</v>
    <v>9</v>
    <v t="s">INFORMATION TECHNOLOGY</v>
    <v>7115000</v>
    <v t="s">...</v>
    <v>2</v>
    <v>15</v>
    <v>44716.160000000003</v>
    <v>117.09</v>
    <v>116.65</v>
    <v>603</v>
    <v t="r">8</v>
    <v>2021</v>
    <v>7</v>
    <v t="s">UTILITIES</v>
    <v>19000000</v>
    <v t="s">...</v>
    <v>8</v>
    <v>31</v>
    <v>444515.59</v>
    <v>103.57</v>
    <v>101.11</v>
    <v>604</v>
    <v t="r">9</v>
    <v>2022</v>
    <v>11</v>
    <v t="s">FINANCE</v>
    <v>4968000</v>
    <v t="s">...</v>
    <v>2</v>
    <v>17</v>
    <v>34424.75</v>
    <v>107.87</v>
    <v>105.9</v>
  </a>
  <a r="12" c="12">
    <v t="s"/>
    <v t="s">Fiscal_Year</v>
    <v t="s">Fiscal_Month</v>
    <v t="s">Department</v>
    <v t="s">Annual_Approved_Budget</v>
    <v t="s">Actual_Expenditure</v>
    <v t="s">...</v>
    <v t="s">Open_Purchase_Orders</v>
    <v t="s">Encumbered_Amount</v>
    <v t="s">Fuel_Price_Index</v>
    <v t="s">CPI_Index</v>
    <v t="s">Month</v>
    <v>0</v>
    <v>2021</v>
    <v>4</v>
    <v t="s">INFORMATION TECHNOLOGY</v>
    <v>6200000</v>
    <v>563434.81999999995</v>
    <v t="s">...</v>
    <v>14</v>
    <v>52573.97</v>
    <v>101.21</v>
    <v>100.11</v>
    <v t="s">January</v>
    <v>1</v>
    <v>2021</v>
    <v>4</v>
    <v t="s">FINANCE</v>
    <v>4800000</v>
    <v>399304.71</v>
    <v t="s">...</v>
    <v>15</v>
    <v>48324.5</v>
    <v>104.43</v>
    <v>99.55</v>
    <v t="s">January</v>
    <v>2</v>
    <v>2021</v>
    <v>4</v>
    <v t="s">POLICE</v>
    <v>25000000</v>
    <v>2070400.89</v>
    <v t="s">...</v>
    <v>26</v>
    <v>231951.51</v>
    <v>99.77</v>
    <v>99.6</v>
    <v t="s">January</v>
    <v>3</v>
    <v>2021</v>
    <v>4</v>
    <v t="s">PLANNING &amp; ZONING</v>
    <v>4200000</v>
    <v>327473.89</v>
    <v t="s">...</v>
    <v>15</v>
    <v>45760.61</v>
    <v>95.11</v>
    <v>99.59</v>
    <v t="s">January</v>
    <v>4</v>
    <v>2021</v>
    <v>4</v>
    <v t="s">GENERAL SERVICES</v>
    <v>7300000</v>
    <v>581909.26</v>
    <v t="s">...</v>
    <v>15</v>
    <v>50278.87</v>
    <v>100.24</v>
    <v>100.22</v>
    <v t="s">January</v>
    <v t="s">...</v>
    <v t="s">...</v>
    <v t="s">...</v>
    <v t="s">...</v>
    <v t="s">...</v>
    <v t="s">...</v>
    <v t="s">...</v>
    <v t="s">...</v>
    <v t="s">...</v>
    <v t="s">...</v>
    <v t="s">...</v>
    <v t="s">...</v>
    <v>600</v>
    <v>2026</v>
    <v>3</v>
    <v t="s">GENERAL SERVICES</v>
    <v>8670000</v>
    <v>805088.2</v>
    <v t="s">...</v>
    <v>14</v>
    <v>39708.54</v>
    <v>120.61</v>
    <v>119.44</v>
    <v t="s">December</v>
    <v>601</v>
    <v>2026</v>
    <v>3</v>
    <v t="s">POLICE</v>
    <v>29692000</v>
    <v>3117515.07</v>
    <v t="s">...</v>
    <v>32</v>
    <v>428183.34</v>
    <v>120.19</v>
    <v>118.98</v>
    <v t="s">December</v>
    <v>602</v>
    <v>2026</v>
    <v>3</v>
    <v t="s">FIRE RESCUE</v>
    <v>26129000</v>
    <v>2559330.75</v>
    <v t="s">...</v>
    <v>25</v>
    <v>174335</v>
    <v>122.31</v>
    <v>118.49</v>
    <v t="s">December</v>
    <v>603</v>
    <v>2026</v>
    <v>3</v>
    <v t="s">PARKS &amp; RECREATION</v>
    <v>9501000</v>
    <v>786928.94</v>
    <v t="s">...</v>
    <v>20</v>
    <v>110809.72</v>
    <v>121.19</v>
    <v>119.25</v>
    <v t="s">December</v>
    <v>604</v>
    <v>2026</v>
    <v>3</v>
    <v t="s">HUMAN RESOURCES</v>
    <v>4157000</v>
    <v>378437.44</v>
    <v t="s">...</v>
    <v>15</v>
    <v>20354.080000000002</v>
    <v>118.41</v>
    <v>118.53</v>
    <v t="s">December</v>
  </a>
  <a r="12" c="12">
    <v t="s"/>
    <v t="s">Fiscal_Year</v>
    <v t="s">Fiscal_Month</v>
    <v t="s">Department</v>
    <v t="s">Annual_Approved_Budget</v>
    <v t="s">Actual_Expenditure</v>
    <v t="s">...</v>
    <v t="s">Month_June</v>
    <v t="s">Month_March</v>
    <v t="s">Month_May</v>
    <v t="s">Month_November</v>
    <v t="s">Month_September</v>
    <v>0</v>
    <v>2021</v>
    <v>4</v>
    <v t="s">INFORMATION TECHNOLOGY</v>
    <v>6200000</v>
    <v>563434.81999999995</v>
    <v t="s">...</v>
    <v>0</v>
    <v>0</v>
    <v>0</v>
    <v>0</v>
    <v>0</v>
    <v>1</v>
    <v>2021</v>
    <v>4</v>
    <v t="s">FINANCE</v>
    <v>4800000</v>
    <v>399304.71</v>
    <v t="s">...</v>
    <v>0</v>
    <v>0</v>
    <v>0</v>
    <v>0</v>
    <v>0</v>
    <v>2</v>
    <v>2021</v>
    <v>4</v>
    <v t="s">POLICE</v>
    <v>25000000</v>
    <v>2070400.89</v>
    <v t="s">...</v>
    <v>0</v>
    <v>0</v>
    <v>0</v>
    <v>0</v>
    <v>0</v>
    <v>3</v>
    <v>2021</v>
    <v>4</v>
    <v t="s">PLANNING &amp; ZONING</v>
    <v>4200000</v>
    <v>327473.89</v>
    <v t="s">...</v>
    <v>0</v>
    <v>0</v>
    <v>0</v>
    <v>0</v>
    <v>0</v>
    <v>4</v>
    <v>2021</v>
    <v>4</v>
    <v t="s">GENERAL SERVICES</v>
    <v>7300000</v>
    <v>581909.26</v>
    <v t="s">...</v>
    <v>0</v>
    <v>0</v>
    <v>0</v>
    <v>0</v>
    <v>0</v>
    <v t="s">...</v>
    <v t="s">...</v>
    <v t="s">...</v>
    <v t="s">...</v>
    <v t="s">...</v>
    <v t="s">...</v>
    <v t="s">...</v>
    <v t="s">...</v>
    <v t="s">...</v>
    <v t="s">...</v>
    <v t="s">...</v>
    <v t="s">...</v>
    <v>600</v>
    <v>2026</v>
    <v>3</v>
    <v t="s">GENERAL SERVICES</v>
    <v>8670000</v>
    <v>805088.2</v>
    <v t="s">...</v>
    <v>0</v>
    <v>0</v>
    <v>0</v>
    <v>0</v>
    <v>0</v>
    <v>601</v>
    <v>2026</v>
    <v>3</v>
    <v t="s">POLICE</v>
    <v>29692000</v>
    <v>3117515.07</v>
    <v t="s">...</v>
    <v>0</v>
    <v>0</v>
    <v>0</v>
    <v>0</v>
    <v>0</v>
    <v>602</v>
    <v>2026</v>
    <v>3</v>
    <v t="s">FIRE RESCUE</v>
    <v>26129000</v>
    <v>2559330.75</v>
    <v t="s">...</v>
    <v>0</v>
    <v>0</v>
    <v>0</v>
    <v>0</v>
    <v>0</v>
    <v>603</v>
    <v>2026</v>
    <v>3</v>
    <v t="s">PARKS &amp; RECREATION</v>
    <v>9501000</v>
    <v>786928.94</v>
    <v t="s">...</v>
    <v>0</v>
    <v>0</v>
    <v>0</v>
    <v>0</v>
    <v>0</v>
    <v>604</v>
    <v>2026</v>
    <v>3</v>
    <v t="s">HUMAN RESOURCES</v>
    <v>4157000</v>
    <v>378437.44</v>
    <v t="s">...</v>
    <v>0</v>
    <v>0</v>
    <v>0</v>
    <v>0</v>
    <v>0</v>
  </a>
  <a r="12" c="12">
    <v t="s"/>
    <v t="s">Fiscal_Year</v>
    <v t="s">Fiscal_Month</v>
    <v t="s">Annual_Approved_Budget</v>
    <v t="s">Actual_Expenditure</v>
    <v t="s">Personnel_Cost</v>
    <v t="s">...</v>
    <v t="s">Department_PLANNING &amp; ZONING</v>
    <v t="s">Department_POLICE</v>
    <v t="s">Department_PUBLIC WORKS</v>
    <v t="s" xml:space="preserve">Department_PUBLIC WORKS </v>
    <v t="s">Department_UTILITIES</v>
    <v>0</v>
    <v>2021</v>
    <v>4</v>
    <v>6200000</v>
    <v>563434.81999999995</v>
    <v>267323.62</v>
    <v t="s">...</v>
    <v>0</v>
    <v>0</v>
    <v>0</v>
    <v>0</v>
    <v>0</v>
    <v>1</v>
    <v>2021</v>
    <v>4</v>
    <v>4800000</v>
    <v>399304.71</v>
    <v>334574.15999999997</v>
    <v t="s">...</v>
    <v>0</v>
    <v>0</v>
    <v>0</v>
    <v>0</v>
    <v>0</v>
    <v>2</v>
    <v>2021</v>
    <v>4</v>
    <v>25000000</v>
    <v>2070400.89</v>
    <v>1505472.56</v>
    <v t="s">...</v>
    <v>0</v>
    <v>1</v>
    <v>0</v>
    <v>0</v>
    <v>0</v>
    <v>3</v>
    <v>2021</v>
    <v>4</v>
    <v>4200000</v>
    <v>327473.89</v>
    <v>266230.96999999997</v>
    <v t="s">...</v>
    <v>1</v>
    <v>0</v>
    <v>0</v>
    <v>0</v>
    <v>0</v>
    <v>4</v>
    <v>2021</v>
    <v>4</v>
    <v>7300000</v>
    <v>581909.26</v>
    <v>317339.01</v>
    <v t="s">...</v>
    <v>0</v>
    <v>0</v>
    <v>0</v>
    <v>0</v>
    <v>0</v>
    <v t="s">...</v>
    <v t="s">...</v>
    <v t="s">...</v>
    <v t="s">...</v>
    <v t="s">...</v>
    <v t="s">...</v>
    <v t="s">...</v>
    <v t="s">...</v>
    <v t="s">...</v>
    <v t="s">...</v>
    <v t="s">...</v>
    <v t="s">...</v>
    <v>600</v>
    <v>2026</v>
    <v>3</v>
    <v>8670000</v>
    <v>805088.2</v>
    <v>390301.16</v>
    <v t="s">...</v>
    <v>0</v>
    <v>0</v>
    <v>0</v>
    <v>0</v>
    <v>0</v>
    <v>601</v>
    <v>2026</v>
    <v>3</v>
    <v>29692000</v>
    <v>3117515.07</v>
    <v>2038649.78</v>
    <v t="s">...</v>
    <v>0</v>
    <v>1</v>
    <v>0</v>
    <v>0</v>
    <v>0</v>
    <v>602</v>
    <v>2026</v>
    <v>3</v>
    <v>26129000</v>
    <v>2559330.75</v>
    <v>1895803.82</v>
    <v t="s">...</v>
    <v>0</v>
    <v>0</v>
    <v>0</v>
    <v>0</v>
    <v>0</v>
    <v>603</v>
    <v>2026</v>
    <v>3</v>
    <v>9501000</v>
    <v>786928.94</v>
    <v>507342.48</v>
    <v t="s">...</v>
    <v>0</v>
    <v>0</v>
    <v>0</v>
    <v>0</v>
    <v>0</v>
    <v>604</v>
    <v>2026</v>
    <v>3</v>
    <v>4157000</v>
    <v>378437.44</v>
    <v>316632.7</v>
    <v t="s">...</v>
    <v>0</v>
    <v>0</v>
    <v>0</v>
    <v>0</v>
    <v>0</v>
  </a>
</arrayData>
</file>

<file path=xl/richData/rdrichvalue.xml><?xml version="1.0" encoding="utf-8"?>
<rvData xmlns="http://schemas.microsoft.com/office/spreadsheetml/2017/richdata" count="24">
  <rv s="0">
    <fb>44562</fb>
    <v>2</v>
  </rv>
  <rv s="0">
    <fb>45292</fb>
    <v>2</v>
  </rv>
  <rv s="0">
    <fb>44593</fb>
    <v>2</v>
  </rv>
  <rv s="0">
    <fb>45047</fb>
    <v>2</v>
  </rv>
  <rv s="0">
    <fb>45839</fb>
    <v>2</v>
  </rv>
  <rv s="0">
    <fb>45931</fb>
    <v>2</v>
  </rv>
  <rv s="0">
    <fb>44927</fb>
    <v>2</v>
  </rv>
  <rv s="0">
    <fb>45809</fb>
    <v>2</v>
  </rv>
  <rv s="0">
    <fb>44287</fb>
    <v>2</v>
  </rv>
  <rv s="0">
    <fb>44774</fb>
    <v>2</v>
  </rv>
  <rv s="1">
    <v>0</v>
  </rv>
  <rv s="2">
    <v>DataFrame</v>
    <v>1</v>
    <v>10</v>
  </rv>
  <rv s="3">
    <v>&lt;class 'pandas.core.frame.DataFrame'&gt;</v>
    <v>DataFrame</v>
    <v xml:space="preserve">          Date  Fiscal_Year  Fiscal_Month              Department  \
0   2022-01-01         2022             4        GENERAL SERVICES   
1   2024-01-01         2024             4         HUMAN RESOURCES   
2   2022-02-01         2022             5    ...</v>
    <v>11</v>
    <v>3</v>
  </rv>
  <rv s="0">
    <fb>0</fb>
    <v>4</v>
  </rv>
  <rv s="3">
    <fb>0</fb>
    <v>&lt;class 'NoneType'&gt;</v>
    <v>NoneType</v>
    <v>None</v>
    <v>13</v>
    <v>3</v>
  </rv>
  <rv s="1">
    <v>1</v>
  </rv>
  <rv s="2">
    <v>DataFrame</v>
    <v>1</v>
    <v>15</v>
  </rv>
  <rv s="3">
    <v>&lt;class 'pandas.core.frame.DataFrame'&gt;</v>
    <v>DataFrame</v>
    <v xml:space="preserve">     Fiscal_Year  Fiscal_Month              Department  \
0           2021             4  INFORMATION TECHNOLOGY   
1           2021             4                 FINANCE   
2           2021             4                  POLICE   
3           2021    ...</v>
    <v>16</v>
    <v>3</v>
  </rv>
  <rv s="1">
    <v>2</v>
  </rv>
  <rv s="2">
    <v>DataFrame</v>
    <v>6</v>
    <v>18</v>
  </rv>
  <rv s="3">
    <v>&lt;class 'pandas.core.frame.DataFrame'&gt;</v>
    <v>DataFrame</v>
    <v xml:space="preserve">     Fiscal_Year  Fiscal_Month              Department  \
0           2021             4  INFORMATION TECHNOLOGY   
1           2021             4                 FINANCE   
2           2021             4                  POLICE   
3           2021    ...</v>
    <v>19</v>
    <v>3</v>
  </rv>
  <rv s="1">
    <v>3</v>
  </rv>
  <rv s="2">
    <v>DataFrame</v>
    <v>8</v>
    <v>21</v>
  </rv>
  <rv s="3">
    <v>&lt;class 'pandas.core.frame.DataFrame'&gt;</v>
    <v>DataFrame</v>
    <v xml:space="preserve">     Fiscal_Year  Fiscal_Month  Annual_Approved_Budget  Actual_Expenditure  \
0           2021             4                 6200000           563434.82   
1           2021             4                 4800000           399304.71   
2           2021  ...</v>
    <v>22</v>
    <v>3</v>
  </rv>
</rvData>
</file>

<file path=xl/richData/rdrichvaluestructure.xml><?xml version="1.0" encoding="utf-8"?>
<rvStructures xmlns="http://schemas.microsoft.com/office/spreadsheetml/2017/richdata" count="4">
  <s t="_formattednumber">
    <k n="_Format" t="spb"/>
  </s>
  <s t="_array">
    <k n="array" t="a"/>
  </s>
  <s t="_entity">
    <k n="_DisplayString" t="s"/>
    <k n="_ViewInfo" t="spb"/>
    <k n="arrayPreview" t="r"/>
  </s>
  <s t="_python">
    <k n="Python_type" t="s"/>
    <k n="Python_typeName" t="s"/>
    <k n="Python_str" t="s"/>
    <k n="preview" t="r"/>
    <k n="_Provider" t="spb"/>
  </s>
</rvStructures>
</file>

<file path=xl/richData/rdsupportingpropertybag.xml><?xml version="1.0" encoding="utf-8"?>
<supportingPropertyBags xmlns="http://schemas.microsoft.com/office/spreadsheetml/2017/richdata2">
  <spbData count="9">
    <spb s="0">
      <v>605</v>
      <v>17</v>
      <v>DataFrame</v>
      <v>arrayPreview</v>
      <v>1</v>
    </spb>
    <spb s="1">
      <v>0</v>
    </spb>
    <spb s="2">
      <v>1</v>
    </spb>
    <spb s="3">
      <v>https://www.anaconda.com/excel</v>
      <v>https://res.cdn.office.net/officepysvc/prod-service/anacondalogo.png</v>
      <v>Python provided by Anaconda</v>
    </spb>
    <spb s="2">
      <v>2</v>
    </spb>
    <spb s="0">
      <v>605</v>
      <v>27</v>
      <v>DataFrame</v>
      <v>arrayPreview</v>
      <v>1</v>
    </spb>
    <spb s="1">
      <v>5</v>
    </spb>
    <spb s="0">
      <v>605</v>
      <v>39</v>
      <v>DataFrame</v>
      <v>arrayPreview</v>
      <v>1</v>
    </spb>
    <spb s="1">
      <v>7</v>
    </spb>
  </spbData>
</supportingPropertyBags>
</file>

<file path=xl/richData/rdsupportingpropertybagstructure.xml><?xml version="1.0" encoding="utf-8"?>
<spbStructures xmlns="http://schemas.microsoft.com/office/spreadsheetml/2017/richdata2" count="4">
  <s>
    <k n="drw" t="i"/>
    <k n="dcol" t="i"/>
    <k n="name" t="s"/>
    <k n="array" t="s"/>
    <k n="headers" t="b"/>
  </s>
  <s>
    <k n="ArrayCardInfo" t="spb"/>
  </s>
  <s>
    <k n="_Self" t="i"/>
  </s>
  <s>
    <k n="link" t="s"/>
    <k n="logo" t="s"/>
    <k n="na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19" formatCode="m/d/yyyy"/>
    </x:dxf>
    <x:dxf>
      <x:numFmt numFmtId="0" formatCode="General"/>
    </x:dxf>
  </dxfs>
  <richProperties>
    <rPr n="NumberFormat" t="s"/>
  </richProperties>
  <richStyles>
    <rSty dxfid="0"/>
    <rSty dxfid="1">
      <rpv i="0">0;-0;"None"</rpv>
    </rSty>
  </richStyles>
</richStyleSheet>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AEA92C-538E-438E-B1F0-FF1D0CDFA8BE}" name="Deparment_Spending" displayName="Deparment_Spending" ref="A1:Q606" tableType="queryTable" totalsRowShown="0">
  <autoFilter ref="A1:Q606" xr:uid="{0DAEA92C-538E-438E-B1F0-FF1D0CDFA8BE}"/>
  <tableColumns count="17">
    <tableColumn id="18" xr3:uid="{6FF52785-6428-459B-9A46-46FA1E1D4355}" uniqueName="18" name="Date" queryTableFieldId="18" dataDxfId="9"/>
    <tableColumn id="2" xr3:uid="{DAF1F6AF-0936-4382-A5EE-CC86D64FDE18}" uniqueName="2" name="Fiscal_Year" queryTableFieldId="2"/>
    <tableColumn id="3" xr3:uid="{33927462-F7EC-41E8-9940-78B302D43001}" uniqueName="3" name="Fiscal_Month" queryTableFieldId="3"/>
    <tableColumn id="4" xr3:uid="{AF6F0DC1-6C9A-4A34-A5EA-60B12CA7750D}" uniqueName="4" name="Department" queryTableFieldId="4" dataDxfId="8"/>
    <tableColumn id="5" xr3:uid="{E864950B-2D38-497D-BCF6-FD3B531D433B}" uniqueName="5" name="Annual_Approved_Budget" queryTableFieldId="5" dataDxfId="7"/>
    <tableColumn id="6" xr3:uid="{15AC428E-D618-45E7-9394-A5E5F0AF5F9F}" uniqueName="6" name="Actual_Expenditure" queryTableFieldId="6" dataDxfId="6"/>
    <tableColumn id="7" xr3:uid="{8E3E2839-ADEF-4651-828F-24D55573FE26}" uniqueName="7" name="Personnel_Cost" queryTableFieldId="7" dataDxfId="5"/>
    <tableColumn id="8" xr3:uid="{50EDFDA1-1795-4C8D-A552-5AAFAE8B5CDC}" uniqueName="8" name="Operating_Cost" queryTableFieldId="8" dataDxfId="4"/>
    <tableColumn id="9" xr3:uid="{6E94785A-60B9-4804-AC42-2C2FFF507BED}" uniqueName="9" name="Capital_Cost" queryTableFieldId="9" dataDxfId="3"/>
    <tableColumn id="10" xr3:uid="{FF1726F0-5615-4417-85E4-E8CC194287B7}" uniqueName="10" name="Filled_Positions" queryTableFieldId="10"/>
    <tableColumn id="11" xr3:uid="{A4A9FB7F-601E-47C2-86E6-CFF30F860F05}" uniqueName="11" name="Vacant_Positions" queryTableFieldId="11"/>
    <tableColumn id="12" xr3:uid="{C5C8DA4E-CBCD-421B-8FEB-C51B1740A26A}" uniqueName="12" name="Overtime_Hours" queryTableFieldId="12"/>
    <tableColumn id="13" xr3:uid="{8EE1F687-E15A-4D5F-B7E6-5998065FC290}" uniqueName="13" name="Active_Projects" queryTableFieldId="13"/>
    <tableColumn id="14" xr3:uid="{F8206E81-0396-44EB-A1E9-7C85238A4E49}" uniqueName="14" name="Open_Purchase_Orders" queryTableFieldId="14"/>
    <tableColumn id="15" xr3:uid="{114EB10F-041C-4A70-9F31-D741D9243864}" uniqueName="15" name="Encumbered_Amount" queryTableFieldId="15" dataDxfId="2"/>
    <tableColumn id="16" xr3:uid="{F6DFCCC1-FF67-4394-9B1F-6D1009B01FFF}" uniqueName="16" name="Fuel_Price_Index" queryTableFieldId="16" dataDxfId="1"/>
    <tableColumn id="17" xr3:uid="{308A0A57-FEBB-4B49-AB1F-370F756850C5}" uniqueName="17" name="CPI_Index" queryTableFieldId="17"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FB6AC-3102-4E9F-AB43-D63A05F3B78D}">
  <dimension ref="A1:Q606"/>
  <sheetViews>
    <sheetView topLeftCell="E424" workbookViewId="0">
      <selection sqref="A1:Q606"/>
    </sheetView>
  </sheetViews>
  <sheetFormatPr defaultRowHeight="14.25" x14ac:dyDescent="0.45"/>
  <cols>
    <col min="1" max="1" width="8.9296875" bestFit="1" customWidth="1"/>
    <col min="2" max="2" width="11.73046875" bestFit="1" customWidth="1"/>
    <col min="3" max="3" width="13.33203125" bestFit="1" customWidth="1"/>
    <col min="4" max="4" width="23.73046875" bestFit="1" customWidth="1"/>
    <col min="5" max="5" width="22.86328125" bestFit="1" customWidth="1"/>
    <col min="6" max="6" width="18.06640625" bestFit="1" customWidth="1"/>
    <col min="7" max="7" width="15.265625" bestFit="1" customWidth="1"/>
    <col min="8" max="8" width="15.1328125" bestFit="1" customWidth="1"/>
    <col min="9" max="9" width="13" bestFit="1" customWidth="1"/>
    <col min="10" max="10" width="15.33203125" bestFit="1" customWidth="1"/>
    <col min="11" max="11" width="16.46484375" bestFit="1" customWidth="1"/>
    <col min="12" max="12" width="15.6640625" bestFit="1" customWidth="1"/>
    <col min="13" max="13" width="14.86328125" bestFit="1" customWidth="1"/>
    <col min="14" max="14" width="21.3984375" bestFit="1" customWidth="1"/>
    <col min="15" max="15" width="19.9296875" bestFit="1" customWidth="1"/>
    <col min="16" max="16" width="16.06640625" bestFit="1" customWidth="1"/>
    <col min="17" max="18" width="10.59765625" bestFit="1" customWidth="1"/>
  </cols>
  <sheetData>
    <row r="1" spans="1:17" x14ac:dyDescent="0.45">
      <c r="A1" t="s">
        <v>31</v>
      </c>
      <c r="B1" t="s">
        <v>0</v>
      </c>
      <c r="C1" t="s">
        <v>1</v>
      </c>
      <c r="D1" t="s">
        <v>2</v>
      </c>
      <c r="E1" t="s">
        <v>3</v>
      </c>
      <c r="F1" t="s">
        <v>4</v>
      </c>
      <c r="G1" t="s">
        <v>5</v>
      </c>
      <c r="H1" t="s">
        <v>6</v>
      </c>
      <c r="I1" t="s">
        <v>7</v>
      </c>
      <c r="J1" t="s">
        <v>8</v>
      </c>
      <c r="K1" t="s">
        <v>9</v>
      </c>
      <c r="L1" t="s">
        <v>10</v>
      </c>
      <c r="M1" t="s">
        <v>11</v>
      </c>
      <c r="N1" t="s">
        <v>12</v>
      </c>
      <c r="O1" t="s">
        <v>13</v>
      </c>
      <c r="P1" t="s">
        <v>14</v>
      </c>
      <c r="Q1" t="s">
        <v>15</v>
      </c>
    </row>
    <row r="2" spans="1:17" x14ac:dyDescent="0.45">
      <c r="A2" s="1">
        <v>44562</v>
      </c>
      <c r="B2">
        <v>2022</v>
      </c>
      <c r="C2">
        <v>4</v>
      </c>
      <c r="D2" t="s">
        <v>17</v>
      </c>
      <c r="E2" s="2">
        <v>7555000</v>
      </c>
      <c r="F2" s="2">
        <v>542960.12</v>
      </c>
      <c r="G2" s="2">
        <v>323128.08</v>
      </c>
      <c r="H2" s="2">
        <v>226066.85</v>
      </c>
      <c r="I2" s="2">
        <v>20123.080000000002</v>
      </c>
      <c r="J2">
        <v>43</v>
      </c>
      <c r="K2">
        <v>3</v>
      </c>
      <c r="L2">
        <v>82</v>
      </c>
      <c r="M2">
        <v>3</v>
      </c>
      <c r="N2">
        <v>14</v>
      </c>
      <c r="O2" s="2">
        <v>68613.77</v>
      </c>
      <c r="P2" s="2">
        <v>108.45</v>
      </c>
      <c r="Q2" s="2">
        <v>103.47</v>
      </c>
    </row>
    <row r="3" spans="1:17" x14ac:dyDescent="0.45">
      <c r="A3" s="1">
        <v>45292</v>
      </c>
      <c r="B3">
        <v>2024</v>
      </c>
      <c r="C3">
        <v>4</v>
      </c>
      <c r="D3" t="s">
        <v>18</v>
      </c>
      <c r="E3" s="2">
        <v>3881000</v>
      </c>
      <c r="F3" s="2">
        <v>347077.72</v>
      </c>
      <c r="G3" s="2">
        <v>304163.02</v>
      </c>
      <c r="H3" s="2">
        <v>38646.71</v>
      </c>
      <c r="I3" s="2">
        <v>5640.24</v>
      </c>
      <c r="J3">
        <v>29</v>
      </c>
      <c r="K3">
        <v>4</v>
      </c>
      <c r="L3">
        <v>51</v>
      </c>
      <c r="M3">
        <v>1</v>
      </c>
      <c r="N3">
        <v>11</v>
      </c>
      <c r="O3" s="2">
        <v>14662.3</v>
      </c>
      <c r="P3" s="2">
        <v>99.6</v>
      </c>
      <c r="Q3" s="2">
        <v>110.55</v>
      </c>
    </row>
    <row r="4" spans="1:17" x14ac:dyDescent="0.45">
      <c r="A4" s="1">
        <v>44593</v>
      </c>
      <c r="B4">
        <v>2022</v>
      </c>
      <c r="C4">
        <v>5</v>
      </c>
      <c r="D4" t="s">
        <v>19</v>
      </c>
      <c r="E4" s="2">
        <v>4968000</v>
      </c>
      <c r="F4" s="2">
        <v>388823.49</v>
      </c>
      <c r="G4" s="2">
        <v>319256.46999999997</v>
      </c>
      <c r="H4" s="2">
        <v>58459.12</v>
      </c>
      <c r="I4" s="2">
        <v>7881.27</v>
      </c>
      <c r="J4">
        <v>35</v>
      </c>
      <c r="K4">
        <v>6</v>
      </c>
      <c r="L4">
        <v>11</v>
      </c>
      <c r="M4">
        <v>2</v>
      </c>
      <c r="N4">
        <v>15</v>
      </c>
      <c r="O4" s="2">
        <v>33368.97</v>
      </c>
      <c r="P4" s="2">
        <v>111.89</v>
      </c>
      <c r="Q4" s="2">
        <v>103.64</v>
      </c>
    </row>
    <row r="5" spans="1:17" x14ac:dyDescent="0.45">
      <c r="A5" s="1">
        <v>45047</v>
      </c>
      <c r="B5">
        <v>2023</v>
      </c>
      <c r="C5">
        <v>8</v>
      </c>
      <c r="D5" t="s">
        <v>20</v>
      </c>
      <c r="E5" s="2">
        <v>14462000</v>
      </c>
      <c r="F5" s="2">
        <v>1166137.1299999999</v>
      </c>
      <c r="G5" s="2">
        <v>586020.46</v>
      </c>
      <c r="H5" s="2">
        <v>569615.61</v>
      </c>
      <c r="I5" s="2">
        <v>30374.86</v>
      </c>
      <c r="J5">
        <v>80</v>
      </c>
      <c r="K5">
        <v>7</v>
      </c>
      <c r="L5">
        <v>104</v>
      </c>
      <c r="M5">
        <v>3</v>
      </c>
      <c r="N5">
        <v>25</v>
      </c>
      <c r="O5" s="2">
        <v>118378.8</v>
      </c>
      <c r="P5" s="2">
        <v>104.6</v>
      </c>
      <c r="Q5" s="2">
        <v>108.34</v>
      </c>
    </row>
    <row r="6" spans="1:17" x14ac:dyDescent="0.45">
      <c r="A6" s="1">
        <v>45839</v>
      </c>
      <c r="B6">
        <v>2025</v>
      </c>
      <c r="C6">
        <v>10</v>
      </c>
      <c r="D6" t="s">
        <v>21</v>
      </c>
      <c r="E6" s="2">
        <v>9180000</v>
      </c>
      <c r="F6" s="2">
        <v>690126.37</v>
      </c>
      <c r="G6" s="2">
        <v>485729.6</v>
      </c>
      <c r="H6" s="2">
        <v>228839.02</v>
      </c>
      <c r="I6" s="2">
        <v>11696.47</v>
      </c>
      <c r="J6">
        <v>67</v>
      </c>
      <c r="K6">
        <v>6</v>
      </c>
      <c r="L6">
        <v>56</v>
      </c>
      <c r="M6">
        <v>4</v>
      </c>
      <c r="N6">
        <v>17</v>
      </c>
      <c r="O6" s="2">
        <v>116350.23</v>
      </c>
      <c r="P6" s="2">
        <v>116.57</v>
      </c>
      <c r="Q6" s="2">
        <v>116.39</v>
      </c>
    </row>
    <row r="7" spans="1:17" x14ac:dyDescent="0.45">
      <c r="A7" s="1">
        <v>44531</v>
      </c>
      <c r="B7">
        <v>2022</v>
      </c>
      <c r="C7">
        <v>3</v>
      </c>
      <c r="D7" t="s">
        <v>22</v>
      </c>
      <c r="E7" s="2">
        <v>6417000</v>
      </c>
      <c r="F7" s="2">
        <v>526537.1</v>
      </c>
      <c r="G7" s="2">
        <v>245253.46</v>
      </c>
      <c r="H7" s="2">
        <v>266831.58</v>
      </c>
      <c r="I7" s="2">
        <v>31244.82</v>
      </c>
      <c r="J7">
        <v>29</v>
      </c>
      <c r="K7">
        <v>4</v>
      </c>
      <c r="L7">
        <v>38</v>
      </c>
      <c r="M7">
        <v>0</v>
      </c>
      <c r="N7">
        <v>14</v>
      </c>
      <c r="O7" s="2">
        <v>12130.23</v>
      </c>
      <c r="P7" s="2">
        <v>109.76</v>
      </c>
      <c r="Q7" s="2">
        <v>102.88</v>
      </c>
    </row>
    <row r="8" spans="1:17" x14ac:dyDescent="0.45">
      <c r="A8" s="1">
        <v>44348</v>
      </c>
      <c r="B8">
        <v>2021</v>
      </c>
      <c r="C8">
        <v>9</v>
      </c>
      <c r="D8" t="s">
        <v>22</v>
      </c>
      <c r="E8" s="2">
        <v>6200000</v>
      </c>
      <c r="F8" s="2">
        <v>500030.93</v>
      </c>
      <c r="G8" s="2">
        <v>253392.02</v>
      </c>
      <c r="H8" s="2">
        <v>232996.53</v>
      </c>
      <c r="I8" s="2">
        <v>16543.919999999998</v>
      </c>
      <c r="J8">
        <v>30</v>
      </c>
      <c r="K8">
        <v>1</v>
      </c>
      <c r="L8">
        <v>30</v>
      </c>
      <c r="M8">
        <v>2</v>
      </c>
      <c r="N8">
        <v>16</v>
      </c>
      <c r="O8" s="2">
        <v>33603.99</v>
      </c>
      <c r="P8" s="2">
        <v>103.88</v>
      </c>
      <c r="Q8" s="2">
        <v>102.05</v>
      </c>
    </row>
    <row r="9" spans="1:17" x14ac:dyDescent="0.45">
      <c r="A9" s="1">
        <v>45444</v>
      </c>
      <c r="B9">
        <v>2024</v>
      </c>
      <c r="C9">
        <v>9</v>
      </c>
      <c r="D9" t="s">
        <v>18</v>
      </c>
      <c r="E9" s="2">
        <v>3881000</v>
      </c>
      <c r="F9" s="2">
        <v>308081.56</v>
      </c>
      <c r="G9" s="2">
        <v>270353.40000000002</v>
      </c>
      <c r="H9" s="2">
        <v>42080.79</v>
      </c>
      <c r="I9" s="2">
        <v>4692.79</v>
      </c>
      <c r="J9">
        <v>28</v>
      </c>
      <c r="K9">
        <v>2</v>
      </c>
      <c r="L9">
        <v>34</v>
      </c>
      <c r="M9">
        <v>0</v>
      </c>
      <c r="N9">
        <v>7</v>
      </c>
      <c r="O9" s="2">
        <v>4281.83</v>
      </c>
      <c r="P9" s="2">
        <v>101.09</v>
      </c>
      <c r="Q9" s="2">
        <v>112.82</v>
      </c>
    </row>
    <row r="10" spans="1:17" x14ac:dyDescent="0.45">
      <c r="A10" s="1">
        <v>45627</v>
      </c>
      <c r="B10">
        <v>2025</v>
      </c>
      <c r="C10">
        <v>3</v>
      </c>
      <c r="D10" t="s">
        <v>23</v>
      </c>
      <c r="E10" s="2">
        <v>21803000</v>
      </c>
      <c r="F10" s="2">
        <v>1947103.88</v>
      </c>
      <c r="G10" s="2">
        <v>854951.17</v>
      </c>
      <c r="H10" s="2">
        <v>990881.08</v>
      </c>
      <c r="I10" s="2">
        <v>109258</v>
      </c>
      <c r="J10">
        <v>97</v>
      </c>
      <c r="K10">
        <v>7</v>
      </c>
      <c r="L10">
        <v>490</v>
      </c>
      <c r="M10">
        <v>10</v>
      </c>
      <c r="N10">
        <v>34</v>
      </c>
      <c r="O10" s="2">
        <v>537780.86</v>
      </c>
      <c r="P10" s="2">
        <v>108.23</v>
      </c>
      <c r="Q10" s="2">
        <v>116.23</v>
      </c>
    </row>
    <row r="11" spans="1:17" x14ac:dyDescent="0.45">
      <c r="A11" s="1">
        <v>45658</v>
      </c>
      <c r="B11">
        <v>2025</v>
      </c>
      <c r="C11">
        <v>4</v>
      </c>
      <c r="D11" t="s">
        <v>19</v>
      </c>
      <c r="E11" s="2">
        <v>5508000</v>
      </c>
      <c r="F11" s="2">
        <v>474824.34</v>
      </c>
      <c r="G11" s="2">
        <v>396526.76</v>
      </c>
      <c r="H11" s="2">
        <v>65677.570000000007</v>
      </c>
      <c r="I11" s="2">
        <v>5274.46</v>
      </c>
      <c r="J11">
        <v>39</v>
      </c>
      <c r="K11">
        <v>4</v>
      </c>
      <c r="L11">
        <v>66</v>
      </c>
      <c r="M11">
        <v>2</v>
      </c>
      <c r="N11">
        <v>12</v>
      </c>
      <c r="O11" s="2">
        <v>30776.69</v>
      </c>
      <c r="P11" s="2">
        <v>109.79</v>
      </c>
      <c r="Q11" s="2">
        <v>115.81</v>
      </c>
    </row>
    <row r="12" spans="1:17" x14ac:dyDescent="0.45">
      <c r="A12" s="1">
        <v>44743</v>
      </c>
      <c r="B12">
        <v>2022</v>
      </c>
      <c r="C12">
        <v>10</v>
      </c>
      <c r="D12" t="s">
        <v>24</v>
      </c>
      <c r="E12" s="2">
        <v>13972000</v>
      </c>
      <c r="F12" s="2">
        <v>1103171.6399999999</v>
      </c>
      <c r="G12" s="2">
        <v>545388.43999999994</v>
      </c>
      <c r="H12" s="2">
        <v>498992.22</v>
      </c>
      <c r="I12" s="2">
        <v>47979.62</v>
      </c>
      <c r="J12">
        <v>77</v>
      </c>
      <c r="K12">
        <v>6</v>
      </c>
      <c r="M12">
        <v>2</v>
      </c>
      <c r="N12">
        <v>19</v>
      </c>
      <c r="O12" s="2">
        <v>94813.16</v>
      </c>
      <c r="P12" s="2">
        <v>110.31</v>
      </c>
      <c r="Q12" s="2">
        <v>105.86</v>
      </c>
    </row>
    <row r="13" spans="1:17" x14ac:dyDescent="0.45">
      <c r="A13" s="1">
        <v>44593</v>
      </c>
      <c r="B13">
        <v>2022</v>
      </c>
      <c r="C13">
        <v>5</v>
      </c>
      <c r="D13" t="s">
        <v>24</v>
      </c>
      <c r="E13" s="2">
        <v>13972000</v>
      </c>
      <c r="F13" s="2">
        <v>1214130.3400000001</v>
      </c>
      <c r="G13" s="2">
        <v>557249.07999999996</v>
      </c>
      <c r="H13" s="2">
        <v>474320.04</v>
      </c>
      <c r="I13" s="2">
        <v>218765.7</v>
      </c>
      <c r="J13">
        <v>79</v>
      </c>
      <c r="K13">
        <v>6</v>
      </c>
      <c r="L13">
        <v>103</v>
      </c>
      <c r="M13">
        <v>5</v>
      </c>
      <c r="N13">
        <v>21</v>
      </c>
      <c r="O13" s="2">
        <v>172747.55</v>
      </c>
      <c r="P13" s="2">
        <v>111.05</v>
      </c>
      <c r="Q13" s="2">
        <v>103.67</v>
      </c>
    </row>
    <row r="14" spans="1:17" x14ac:dyDescent="0.45">
      <c r="A14" s="1">
        <v>44805</v>
      </c>
      <c r="B14">
        <v>2022</v>
      </c>
      <c r="C14">
        <v>12</v>
      </c>
      <c r="D14" t="s">
        <v>25</v>
      </c>
      <c r="E14" s="2">
        <v>4347000</v>
      </c>
      <c r="F14" s="2">
        <v>424209.24</v>
      </c>
      <c r="G14" s="2">
        <v>311536.90999999997</v>
      </c>
      <c r="H14" s="2">
        <v>63632.89</v>
      </c>
      <c r="I14" s="2">
        <v>38386.639999999999</v>
      </c>
      <c r="J14">
        <v>34</v>
      </c>
      <c r="K14">
        <v>7</v>
      </c>
      <c r="L14">
        <v>23</v>
      </c>
      <c r="M14">
        <v>0</v>
      </c>
      <c r="N14">
        <v>9</v>
      </c>
      <c r="O14" s="2">
        <v>7162.31</v>
      </c>
      <c r="P14" s="2">
        <v>111.63</v>
      </c>
      <c r="Q14" s="2">
        <v>106.59</v>
      </c>
    </row>
    <row r="15" spans="1:17" x14ac:dyDescent="0.45">
      <c r="A15" s="1">
        <v>44287</v>
      </c>
      <c r="B15">
        <v>2021</v>
      </c>
      <c r="C15">
        <v>7</v>
      </c>
      <c r="D15" t="s">
        <v>22</v>
      </c>
      <c r="E15" s="2">
        <v>6200000</v>
      </c>
      <c r="F15" s="2">
        <v>479240.36</v>
      </c>
      <c r="G15" s="2">
        <v>249711.76</v>
      </c>
      <c r="H15" s="2">
        <v>200493.06</v>
      </c>
      <c r="I15" s="2">
        <v>35891.22</v>
      </c>
      <c r="J15">
        <v>30</v>
      </c>
      <c r="K15">
        <v>1</v>
      </c>
      <c r="L15">
        <v>42</v>
      </c>
      <c r="M15">
        <v>3</v>
      </c>
      <c r="N15">
        <v>15</v>
      </c>
      <c r="O15" s="2">
        <v>40964.74</v>
      </c>
      <c r="P15" s="2">
        <v>104.59</v>
      </c>
      <c r="Q15" s="2">
        <v>100.87</v>
      </c>
    </row>
    <row r="16" spans="1:17" x14ac:dyDescent="0.45">
      <c r="A16" s="1">
        <v>44409</v>
      </c>
      <c r="B16">
        <v>2021</v>
      </c>
      <c r="C16">
        <v>11</v>
      </c>
      <c r="D16" t="s">
        <v>22</v>
      </c>
      <c r="E16" s="2">
        <v>6200000</v>
      </c>
      <c r="F16" s="2">
        <v>503497.41</v>
      </c>
      <c r="G16" s="2">
        <v>254558.66</v>
      </c>
      <c r="H16" s="2">
        <v>216291.18</v>
      </c>
      <c r="I16" s="2">
        <v>32933.839999999997</v>
      </c>
      <c r="J16">
        <v>30</v>
      </c>
      <c r="K16">
        <v>4</v>
      </c>
      <c r="L16">
        <v>52</v>
      </c>
      <c r="M16">
        <v>0</v>
      </c>
      <c r="N16">
        <v>11</v>
      </c>
      <c r="O16" s="2">
        <v>10524.97</v>
      </c>
      <c r="P16" s="2">
        <v>105.99</v>
      </c>
      <c r="Q16" s="2">
        <v>102.3</v>
      </c>
    </row>
    <row r="17" spans="1:17" x14ac:dyDescent="0.45">
      <c r="A17" s="1">
        <v>44378</v>
      </c>
      <c r="B17">
        <v>2021</v>
      </c>
      <c r="C17">
        <v>10</v>
      </c>
      <c r="D17" t="s">
        <v>23</v>
      </c>
      <c r="E17" s="2">
        <v>19000000</v>
      </c>
      <c r="F17" s="2">
        <v>1409951.8</v>
      </c>
      <c r="G17" s="2">
        <v>717732.11</v>
      </c>
      <c r="H17" s="2">
        <v>705271.47</v>
      </c>
      <c r="I17" s="2">
        <v>86215.54</v>
      </c>
      <c r="J17">
        <v>94</v>
      </c>
      <c r="K17">
        <v>5</v>
      </c>
      <c r="L17">
        <v>393</v>
      </c>
      <c r="M17">
        <v>7</v>
      </c>
      <c r="N17">
        <v>27</v>
      </c>
      <c r="O17" s="2">
        <v>307744.21999999997</v>
      </c>
      <c r="P17" s="2">
        <v>107.46</v>
      </c>
      <c r="Q17" s="2">
        <v>102.06</v>
      </c>
    </row>
    <row r="18" spans="1:17" x14ac:dyDescent="0.45">
      <c r="A18" s="1">
        <v>44835</v>
      </c>
      <c r="B18">
        <v>2023</v>
      </c>
      <c r="C18">
        <v>1</v>
      </c>
      <c r="D18" t="s">
        <v>25</v>
      </c>
      <c r="E18" s="2">
        <v>4499000</v>
      </c>
      <c r="F18" s="2">
        <v>373262.17</v>
      </c>
      <c r="G18" s="2">
        <v>295444.46999999997</v>
      </c>
      <c r="H18" s="2">
        <v>71341.58</v>
      </c>
      <c r="I18" s="2">
        <v>9026.73</v>
      </c>
      <c r="J18">
        <v>31</v>
      </c>
      <c r="K18">
        <v>3</v>
      </c>
      <c r="L18">
        <v>34</v>
      </c>
      <c r="M18">
        <v>0</v>
      </c>
      <c r="N18">
        <v>7</v>
      </c>
      <c r="O18" s="2">
        <v>4867.87</v>
      </c>
      <c r="P18" s="2">
        <v>107.88</v>
      </c>
      <c r="Q18" s="2">
        <v>106.3</v>
      </c>
    </row>
    <row r="19" spans="1:17" x14ac:dyDescent="0.45">
      <c r="A19" s="1">
        <v>44896</v>
      </c>
      <c r="B19">
        <v>2023</v>
      </c>
      <c r="C19">
        <v>3</v>
      </c>
      <c r="D19" t="s">
        <v>24</v>
      </c>
      <c r="E19" s="2">
        <v>14462000</v>
      </c>
      <c r="F19" s="2">
        <v>1235846.01</v>
      </c>
      <c r="G19" s="2">
        <v>574109.06000000006</v>
      </c>
      <c r="H19" s="2">
        <v>649552.78</v>
      </c>
      <c r="I19" s="2">
        <v>43306.59</v>
      </c>
      <c r="J19">
        <v>77</v>
      </c>
      <c r="K19">
        <v>5</v>
      </c>
      <c r="L19">
        <v>84</v>
      </c>
      <c r="M19">
        <v>6</v>
      </c>
      <c r="N19">
        <v>25</v>
      </c>
      <c r="O19" s="2">
        <v>156047.76</v>
      </c>
      <c r="P19" s="2">
        <v>105.41</v>
      </c>
      <c r="Q19" s="2">
        <v>106.99</v>
      </c>
    </row>
    <row r="20" spans="1:17" x14ac:dyDescent="0.45">
      <c r="A20" s="1">
        <v>45078</v>
      </c>
      <c r="B20">
        <v>2023</v>
      </c>
      <c r="C20">
        <v>9</v>
      </c>
      <c r="D20" t="s">
        <v>23</v>
      </c>
      <c r="E20" s="2">
        <v>20353000</v>
      </c>
      <c r="F20" s="2">
        <v>1625263.91</v>
      </c>
      <c r="G20" s="2">
        <v>767926.57</v>
      </c>
      <c r="H20" s="2">
        <v>833298.49</v>
      </c>
      <c r="I20" s="2">
        <v>72958.25</v>
      </c>
      <c r="J20">
        <v>96</v>
      </c>
      <c r="K20">
        <v>10</v>
      </c>
      <c r="L20">
        <v>344</v>
      </c>
      <c r="M20">
        <v>8</v>
      </c>
      <c r="N20">
        <v>36</v>
      </c>
      <c r="O20" s="2">
        <v>523393.94</v>
      </c>
      <c r="P20" s="2">
        <v>103.58</v>
      </c>
      <c r="Q20" s="2">
        <v>109.75</v>
      </c>
    </row>
    <row r="21" spans="1:17" x14ac:dyDescent="0.45">
      <c r="A21" s="1">
        <v>44378</v>
      </c>
      <c r="B21">
        <v>2021</v>
      </c>
      <c r="C21">
        <v>10</v>
      </c>
      <c r="D21" t="s">
        <v>26</v>
      </c>
      <c r="E21" s="2">
        <v>8000000</v>
      </c>
      <c r="F21" s="2">
        <v>575433.07999999996</v>
      </c>
      <c r="G21" s="2">
        <v>376429.92</v>
      </c>
      <c r="H21" s="2">
        <v>168262.95</v>
      </c>
      <c r="I21" s="2">
        <v>28495.47</v>
      </c>
      <c r="J21">
        <v>60</v>
      </c>
      <c r="K21">
        <v>4</v>
      </c>
      <c r="L21">
        <v>61</v>
      </c>
      <c r="M21">
        <v>0</v>
      </c>
      <c r="N21">
        <v>16</v>
      </c>
      <c r="O21" s="2">
        <v>16837.93</v>
      </c>
      <c r="P21" s="2">
        <v>107.98</v>
      </c>
      <c r="Q21" s="2">
        <v>102.16</v>
      </c>
    </row>
    <row r="22" spans="1:17" x14ac:dyDescent="0.45">
      <c r="A22" s="1">
        <v>44986</v>
      </c>
      <c r="B22">
        <v>2023</v>
      </c>
      <c r="C22">
        <v>6</v>
      </c>
      <c r="D22" t="s">
        <v>17</v>
      </c>
      <c r="E22" s="2">
        <v>7820000</v>
      </c>
      <c r="F22" s="2">
        <v>604989.25</v>
      </c>
      <c r="G22" s="2">
        <v>346936.05</v>
      </c>
      <c r="H22" s="2">
        <v>253069.57</v>
      </c>
      <c r="I22" s="2">
        <v>24188.04</v>
      </c>
      <c r="J22">
        <v>45</v>
      </c>
      <c r="K22">
        <v>2</v>
      </c>
      <c r="L22">
        <v>43</v>
      </c>
      <c r="M22">
        <v>3</v>
      </c>
      <c r="N22">
        <v>14</v>
      </c>
      <c r="O22" s="2">
        <v>48943.12</v>
      </c>
      <c r="P22" s="2">
        <v>105.17</v>
      </c>
      <c r="Q22" s="2">
        <v>106.89</v>
      </c>
    </row>
    <row r="23" spans="1:17" x14ac:dyDescent="0.45">
      <c r="A23" s="1">
        <v>45261</v>
      </c>
      <c r="B23">
        <v>2024</v>
      </c>
      <c r="C23">
        <v>3</v>
      </c>
      <c r="D23" t="s">
        <v>22</v>
      </c>
      <c r="E23" s="2">
        <v>6874000</v>
      </c>
      <c r="F23" s="2">
        <v>560347.13</v>
      </c>
      <c r="G23" s="2">
        <v>283496.43</v>
      </c>
      <c r="H23" s="2">
        <v>279278.78999999998</v>
      </c>
      <c r="I23" s="2">
        <v>18057.96</v>
      </c>
      <c r="J23">
        <v>31</v>
      </c>
      <c r="K23">
        <v>0</v>
      </c>
      <c r="L23">
        <v>44</v>
      </c>
      <c r="M23">
        <v>1</v>
      </c>
      <c r="N23">
        <v>13</v>
      </c>
      <c r="O23" s="2">
        <v>18517.09</v>
      </c>
      <c r="P23" s="2">
        <v>102.05</v>
      </c>
      <c r="Q23" s="2">
        <v>110.67</v>
      </c>
    </row>
    <row r="24" spans="1:17" x14ac:dyDescent="0.45">
      <c r="A24" s="1">
        <v>45323</v>
      </c>
      <c r="B24">
        <v>2024</v>
      </c>
      <c r="C24">
        <v>5</v>
      </c>
      <c r="D24" t="s">
        <v>27</v>
      </c>
      <c r="E24" s="2">
        <v>27718000</v>
      </c>
      <c r="F24" s="2">
        <v>2247666.4300000002</v>
      </c>
      <c r="G24" s="2">
        <v>1810694.78</v>
      </c>
      <c r="H24" s="2">
        <v>387007.66</v>
      </c>
      <c r="I24" s="2">
        <v>55215.26</v>
      </c>
      <c r="J24">
        <v>217</v>
      </c>
      <c r="K24">
        <v>18</v>
      </c>
      <c r="L24">
        <v>901</v>
      </c>
      <c r="M24">
        <v>7</v>
      </c>
      <c r="N24">
        <v>33</v>
      </c>
      <c r="O24" s="2">
        <v>498142.87</v>
      </c>
      <c r="P24" s="2">
        <v>102.23</v>
      </c>
      <c r="Q24" s="2">
        <v>112.42</v>
      </c>
    </row>
    <row r="25" spans="1:17" x14ac:dyDescent="0.45">
      <c r="A25" s="1">
        <v>45047</v>
      </c>
      <c r="B25">
        <v>2023</v>
      </c>
      <c r="C25">
        <v>8</v>
      </c>
      <c r="D25" t="s">
        <v>21</v>
      </c>
      <c r="E25" s="2">
        <v>8570000</v>
      </c>
      <c r="F25" s="2">
        <v>621926.66</v>
      </c>
      <c r="G25" s="2">
        <v>440235.33</v>
      </c>
      <c r="H25" s="2">
        <v>202036.01</v>
      </c>
      <c r="I25" s="2">
        <v>33814.839999999997</v>
      </c>
      <c r="J25">
        <v>64</v>
      </c>
      <c r="K25">
        <v>5</v>
      </c>
      <c r="L25">
        <v>52</v>
      </c>
      <c r="M25">
        <v>5</v>
      </c>
      <c r="N25">
        <v>19</v>
      </c>
      <c r="O25" s="2">
        <v>97342.52</v>
      </c>
      <c r="P25" s="2">
        <v>104.42</v>
      </c>
      <c r="Q25" s="2">
        <v>108.08</v>
      </c>
    </row>
    <row r="26" spans="1:17" x14ac:dyDescent="0.45">
      <c r="A26" s="1">
        <v>44652</v>
      </c>
      <c r="B26">
        <v>2022</v>
      </c>
      <c r="C26">
        <v>7</v>
      </c>
      <c r="D26" t="s">
        <v>16</v>
      </c>
      <c r="E26" s="2">
        <v>6417000</v>
      </c>
      <c r="F26" s="2">
        <v>522668.99</v>
      </c>
      <c r="G26" s="2">
        <v>249629.7</v>
      </c>
      <c r="H26" s="2">
        <v>239949.07</v>
      </c>
      <c r="I26" s="2">
        <v>32825.15</v>
      </c>
      <c r="J26">
        <v>28</v>
      </c>
      <c r="K26">
        <v>3</v>
      </c>
      <c r="L26">
        <v>38</v>
      </c>
      <c r="M26">
        <v>1</v>
      </c>
      <c r="N26">
        <v>8</v>
      </c>
      <c r="O26" s="2">
        <v>15060.38</v>
      </c>
      <c r="P26" s="2">
        <v>114.53</v>
      </c>
      <c r="Q26" s="2">
        <v>105.13</v>
      </c>
    </row>
    <row r="27" spans="1:17" x14ac:dyDescent="0.45">
      <c r="A27" s="1">
        <v>45292</v>
      </c>
      <c r="B27">
        <v>2024</v>
      </c>
      <c r="C27">
        <v>4</v>
      </c>
      <c r="D27" t="s">
        <v>27</v>
      </c>
      <c r="E27" s="2">
        <v>27718000</v>
      </c>
      <c r="F27" s="2">
        <v>2649676.31</v>
      </c>
      <c r="G27" s="2">
        <v>1930535.59</v>
      </c>
      <c r="H27" s="2">
        <v>435496.33</v>
      </c>
      <c r="I27" s="2">
        <v>286513.53000000003</v>
      </c>
      <c r="J27">
        <v>220</v>
      </c>
      <c r="K27">
        <v>15</v>
      </c>
      <c r="L27">
        <v>853</v>
      </c>
      <c r="M27">
        <v>11</v>
      </c>
      <c r="N27">
        <v>36</v>
      </c>
      <c r="O27" s="2">
        <v>728851.6</v>
      </c>
      <c r="P27" s="2">
        <v>100.15</v>
      </c>
      <c r="Q27" s="2">
        <v>111.42</v>
      </c>
    </row>
    <row r="28" spans="1:17" x14ac:dyDescent="0.45">
      <c r="A28" s="1">
        <v>45323</v>
      </c>
      <c r="B28">
        <v>2024</v>
      </c>
      <c r="C28">
        <v>5</v>
      </c>
      <c r="D28" t="s">
        <v>19</v>
      </c>
      <c r="E28" s="2">
        <v>5322000</v>
      </c>
      <c r="F28" s="2">
        <v>455942.8</v>
      </c>
      <c r="G28" s="2">
        <v>395086.52</v>
      </c>
      <c r="H28" s="2">
        <v>62285.23</v>
      </c>
      <c r="I28" s="2">
        <v>7419.92</v>
      </c>
      <c r="J28">
        <v>39</v>
      </c>
      <c r="K28">
        <v>1</v>
      </c>
      <c r="L28">
        <v>42</v>
      </c>
      <c r="M28">
        <v>3</v>
      </c>
      <c r="N28">
        <v>13</v>
      </c>
      <c r="O28" s="2">
        <v>35487.279999999999</v>
      </c>
      <c r="P28" s="2">
        <v>102.92</v>
      </c>
      <c r="Q28" s="2">
        <v>110.59</v>
      </c>
    </row>
    <row r="29" spans="1:17" x14ac:dyDescent="0.45">
      <c r="A29" s="1">
        <v>45992</v>
      </c>
      <c r="B29">
        <v>2026</v>
      </c>
      <c r="C29">
        <v>3</v>
      </c>
      <c r="D29" t="s">
        <v>19</v>
      </c>
      <c r="E29" s="2">
        <v>5701000</v>
      </c>
      <c r="F29" s="2">
        <v>496177.24</v>
      </c>
      <c r="G29" s="2">
        <v>399181.46</v>
      </c>
      <c r="H29" s="2">
        <v>86795.48</v>
      </c>
      <c r="I29" s="2">
        <v>9339.36</v>
      </c>
      <c r="J29">
        <v>38</v>
      </c>
      <c r="K29">
        <v>0</v>
      </c>
      <c r="L29">
        <v>74</v>
      </c>
      <c r="M29">
        <v>0</v>
      </c>
      <c r="N29">
        <v>11</v>
      </c>
      <c r="O29" s="2">
        <v>8427.92</v>
      </c>
      <c r="P29" s="2">
        <v>121.25</v>
      </c>
      <c r="Q29" s="2">
        <v>118.82</v>
      </c>
    </row>
    <row r="30" spans="1:17" x14ac:dyDescent="0.45">
      <c r="A30" s="1">
        <v>45413</v>
      </c>
      <c r="B30">
        <v>2024</v>
      </c>
      <c r="C30">
        <v>8</v>
      </c>
      <c r="D30" t="s">
        <v>19</v>
      </c>
      <c r="E30" s="2">
        <v>5322000</v>
      </c>
      <c r="F30" s="2">
        <v>457609.16</v>
      </c>
      <c r="G30" s="2">
        <v>377323.81</v>
      </c>
      <c r="H30" s="2">
        <v>63889.98</v>
      </c>
      <c r="I30" s="2">
        <v>11002.08</v>
      </c>
      <c r="J30">
        <v>37</v>
      </c>
      <c r="K30">
        <v>6</v>
      </c>
      <c r="L30">
        <v>53</v>
      </c>
      <c r="M30">
        <v>2</v>
      </c>
      <c r="N30">
        <v>11</v>
      </c>
      <c r="O30" s="2">
        <v>35569.61</v>
      </c>
      <c r="P30" s="2">
        <v>101.54</v>
      </c>
      <c r="Q30" s="2">
        <v>111.82</v>
      </c>
    </row>
    <row r="31" spans="1:17" x14ac:dyDescent="0.45">
      <c r="A31" s="1">
        <v>44866</v>
      </c>
      <c r="B31">
        <v>2023</v>
      </c>
      <c r="C31">
        <v>2</v>
      </c>
      <c r="D31" t="s">
        <v>18</v>
      </c>
      <c r="E31" s="2">
        <v>3749000</v>
      </c>
      <c r="F31" s="2">
        <v>302308.76</v>
      </c>
      <c r="G31" s="2">
        <v>253605.61</v>
      </c>
      <c r="H31" s="2">
        <v>45835.79</v>
      </c>
      <c r="I31" s="2">
        <v>3432.6</v>
      </c>
      <c r="J31">
        <v>26</v>
      </c>
      <c r="K31">
        <v>1</v>
      </c>
      <c r="L31">
        <v>36</v>
      </c>
      <c r="M31">
        <v>0</v>
      </c>
      <c r="N31">
        <v>5</v>
      </c>
      <c r="O31" s="2">
        <v>2276.87</v>
      </c>
      <c r="P31" s="2">
        <v>109.4</v>
      </c>
      <c r="Q31" s="2">
        <v>105.54</v>
      </c>
    </row>
    <row r="32" spans="1:17" x14ac:dyDescent="0.45">
      <c r="A32" s="1">
        <v>44835</v>
      </c>
      <c r="B32">
        <v>2023</v>
      </c>
      <c r="C32">
        <v>1</v>
      </c>
      <c r="D32" t="s">
        <v>21</v>
      </c>
      <c r="E32" s="2">
        <v>8570000</v>
      </c>
      <c r="F32" s="2">
        <v>741517.81</v>
      </c>
      <c r="G32" s="2">
        <v>458569.71</v>
      </c>
      <c r="H32" s="2">
        <v>297759.02</v>
      </c>
      <c r="I32" s="2">
        <v>35466.25</v>
      </c>
      <c r="J32">
        <v>64</v>
      </c>
      <c r="K32">
        <v>5</v>
      </c>
      <c r="L32">
        <v>66</v>
      </c>
      <c r="M32">
        <v>2</v>
      </c>
      <c r="N32">
        <v>19</v>
      </c>
      <c r="O32" s="2">
        <v>63401.4</v>
      </c>
      <c r="P32" s="2">
        <v>105.4</v>
      </c>
      <c r="Q32" s="2">
        <v>106.13</v>
      </c>
    </row>
    <row r="33" spans="1:17" x14ac:dyDescent="0.45">
      <c r="A33" s="1">
        <v>44835</v>
      </c>
      <c r="B33">
        <v>2023</v>
      </c>
      <c r="C33">
        <v>1</v>
      </c>
      <c r="D33" t="s">
        <v>18</v>
      </c>
      <c r="E33" s="2">
        <v>3749000</v>
      </c>
      <c r="F33" s="2">
        <v>304392.81</v>
      </c>
      <c r="G33" s="2">
        <v>252422.29</v>
      </c>
      <c r="H33" s="2">
        <v>44418.41</v>
      </c>
      <c r="I33" s="2">
        <v>5573.89</v>
      </c>
      <c r="J33">
        <v>27</v>
      </c>
      <c r="K33">
        <v>2</v>
      </c>
      <c r="L33">
        <v>36</v>
      </c>
      <c r="M33">
        <v>0</v>
      </c>
      <c r="N33">
        <v>11</v>
      </c>
      <c r="O33" s="2">
        <v>7492.88</v>
      </c>
      <c r="P33" s="2">
        <v>110.06</v>
      </c>
      <c r="Q33" s="2">
        <v>106.2</v>
      </c>
    </row>
    <row r="34" spans="1:17" x14ac:dyDescent="0.45">
      <c r="A34" s="1">
        <v>45809</v>
      </c>
      <c r="B34">
        <v>2025</v>
      </c>
      <c r="C34">
        <v>9</v>
      </c>
      <c r="D34" t="s">
        <v>24</v>
      </c>
      <c r="E34" s="2">
        <v>15492000</v>
      </c>
      <c r="F34" s="2">
        <v>1338796.1000000001</v>
      </c>
      <c r="G34" s="2">
        <v>636807.21</v>
      </c>
      <c r="H34" s="2">
        <v>522761.5</v>
      </c>
      <c r="I34" s="2">
        <v>94764.47</v>
      </c>
      <c r="J34">
        <v>81</v>
      </c>
      <c r="K34">
        <v>5</v>
      </c>
      <c r="L34">
        <v>147</v>
      </c>
      <c r="M34">
        <v>5</v>
      </c>
      <c r="N34">
        <v>31</v>
      </c>
      <c r="O34" s="2">
        <v>176830.34</v>
      </c>
      <c r="P34" s="2">
        <v>114.44</v>
      </c>
      <c r="Q34" s="2">
        <v>115.91</v>
      </c>
    </row>
    <row r="35" spans="1:17" x14ac:dyDescent="0.45">
      <c r="A35" s="1">
        <v>44927</v>
      </c>
      <c r="B35">
        <v>2023</v>
      </c>
      <c r="C35">
        <v>4</v>
      </c>
      <c r="D35" t="s">
        <v>18</v>
      </c>
      <c r="E35" s="2">
        <v>3749000</v>
      </c>
      <c r="F35" s="2">
        <v>336281.09</v>
      </c>
      <c r="G35" s="2">
        <v>292087.65000000002</v>
      </c>
      <c r="H35" s="2">
        <v>40447.269999999997</v>
      </c>
      <c r="I35" s="2">
        <v>6043.12</v>
      </c>
      <c r="J35">
        <v>28</v>
      </c>
      <c r="K35">
        <v>0</v>
      </c>
      <c r="L35">
        <v>41</v>
      </c>
      <c r="M35">
        <v>0</v>
      </c>
      <c r="N35">
        <v>11</v>
      </c>
      <c r="O35" s="2">
        <v>6120.73</v>
      </c>
      <c r="P35" s="2">
        <v>106.45</v>
      </c>
      <c r="Q35" s="2">
        <v>107.9</v>
      </c>
    </row>
    <row r="36" spans="1:17" x14ac:dyDescent="0.45">
      <c r="A36" s="1">
        <v>45261</v>
      </c>
      <c r="B36">
        <v>2024</v>
      </c>
      <c r="C36">
        <v>3</v>
      </c>
      <c r="D36" t="s">
        <v>25</v>
      </c>
      <c r="E36" s="2">
        <v>4657000</v>
      </c>
      <c r="F36" s="2">
        <v>410925.18</v>
      </c>
      <c r="G36" s="2">
        <v>328782.78999999998</v>
      </c>
      <c r="H36" s="2">
        <v>74620.98</v>
      </c>
      <c r="I36" s="2">
        <v>10050.84</v>
      </c>
      <c r="J36">
        <v>32</v>
      </c>
      <c r="K36">
        <v>3</v>
      </c>
      <c r="L36">
        <v>56</v>
      </c>
      <c r="M36">
        <v>2</v>
      </c>
      <c r="N36">
        <v>13</v>
      </c>
      <c r="O36" s="2">
        <v>20079.599999999999</v>
      </c>
      <c r="P36" s="2">
        <v>103.31</v>
      </c>
      <c r="Q36" s="2">
        <v>110.75</v>
      </c>
    </row>
    <row r="37" spans="1:17" x14ac:dyDescent="0.45">
      <c r="A37" s="1">
        <v>44378</v>
      </c>
      <c r="B37">
        <v>2021</v>
      </c>
      <c r="C37">
        <v>10</v>
      </c>
      <c r="D37" t="s">
        <v>25</v>
      </c>
      <c r="E37" s="2">
        <v>4200000</v>
      </c>
      <c r="F37" s="2">
        <v>324422.61</v>
      </c>
      <c r="G37" s="2">
        <v>270552.5</v>
      </c>
      <c r="H37" s="2">
        <v>59361.52</v>
      </c>
      <c r="I37" s="2">
        <v>5768.38</v>
      </c>
      <c r="J37">
        <v>31</v>
      </c>
      <c r="K37">
        <v>8</v>
      </c>
      <c r="L37">
        <v>32</v>
      </c>
      <c r="M37">
        <v>1</v>
      </c>
      <c r="N37">
        <v>12</v>
      </c>
      <c r="O37" s="2">
        <v>15890.77</v>
      </c>
      <c r="P37" s="2">
        <v>109.16</v>
      </c>
      <c r="Q37" s="2">
        <v>100.45</v>
      </c>
    </row>
    <row r="38" spans="1:17" x14ac:dyDescent="0.45">
      <c r="A38" s="1">
        <v>44562</v>
      </c>
      <c r="B38">
        <v>2022</v>
      </c>
      <c r="C38">
        <v>4</v>
      </c>
      <c r="D38" t="s">
        <v>25</v>
      </c>
      <c r="E38" s="2">
        <v>4347000</v>
      </c>
      <c r="F38" s="2">
        <v>359758.65</v>
      </c>
      <c r="G38" s="2">
        <v>302034.40999999997</v>
      </c>
      <c r="H38" s="2">
        <v>54739.45</v>
      </c>
      <c r="I38" s="2">
        <v>5696.33</v>
      </c>
      <c r="J38">
        <v>33</v>
      </c>
      <c r="K38">
        <v>6</v>
      </c>
      <c r="L38">
        <v>64</v>
      </c>
      <c r="M38">
        <v>3</v>
      </c>
      <c r="N38">
        <v>14</v>
      </c>
      <c r="O38" s="2">
        <v>28185.86</v>
      </c>
      <c r="P38" s="2">
        <v>109.19</v>
      </c>
      <c r="Q38" s="2">
        <v>103.73</v>
      </c>
    </row>
    <row r="39" spans="1:17" x14ac:dyDescent="0.45">
      <c r="A39" s="1">
        <v>44228</v>
      </c>
      <c r="B39">
        <v>2021</v>
      </c>
      <c r="C39">
        <v>5</v>
      </c>
      <c r="D39" t="s">
        <v>24</v>
      </c>
      <c r="E39" s="2">
        <v>13500000</v>
      </c>
      <c r="F39" s="2">
        <v>1201055.1599999999</v>
      </c>
      <c r="G39" s="2">
        <v>536845.46</v>
      </c>
      <c r="H39" s="2">
        <v>444539.14</v>
      </c>
      <c r="I39" s="2">
        <v>207021.11</v>
      </c>
      <c r="J39">
        <v>79</v>
      </c>
      <c r="K39">
        <v>4</v>
      </c>
      <c r="L39">
        <v>42</v>
      </c>
      <c r="M39">
        <v>3</v>
      </c>
      <c r="N39">
        <v>22</v>
      </c>
      <c r="O39" s="2">
        <v>97908.93</v>
      </c>
      <c r="P39" s="2">
        <v>99.73</v>
      </c>
      <c r="Q39" s="2">
        <v>100.22</v>
      </c>
    </row>
    <row r="40" spans="1:17" x14ac:dyDescent="0.45">
      <c r="A40" s="1">
        <v>44593</v>
      </c>
      <c r="B40">
        <v>2022</v>
      </c>
      <c r="C40">
        <v>5</v>
      </c>
      <c r="D40" t="s">
        <v>21</v>
      </c>
      <c r="E40" s="2">
        <v>8280000</v>
      </c>
      <c r="F40" s="2">
        <v>689244.43</v>
      </c>
      <c r="G40" s="2">
        <v>426245.52</v>
      </c>
      <c r="H40" s="2">
        <v>203443.45</v>
      </c>
      <c r="I40" s="2">
        <v>35621.32</v>
      </c>
      <c r="J40">
        <v>63</v>
      </c>
      <c r="K40">
        <v>7</v>
      </c>
      <c r="L40">
        <v>75</v>
      </c>
      <c r="M40">
        <v>4</v>
      </c>
      <c r="N40">
        <v>17</v>
      </c>
      <c r="O40" s="2">
        <v>60513.48</v>
      </c>
      <c r="P40" s="2">
        <v>114.55</v>
      </c>
      <c r="Q40" s="2">
        <v>103.75</v>
      </c>
    </row>
    <row r="41" spans="1:17" x14ac:dyDescent="0.45">
      <c r="A41" s="1">
        <v>45778</v>
      </c>
      <c r="B41">
        <v>2025</v>
      </c>
      <c r="C41">
        <v>8</v>
      </c>
      <c r="D41" t="s">
        <v>24</v>
      </c>
      <c r="E41" s="2">
        <v>15492000</v>
      </c>
      <c r="F41" s="2">
        <v>1134734.7</v>
      </c>
      <c r="G41" s="2">
        <v>632478.69999999995</v>
      </c>
      <c r="H41" s="2">
        <v>507723.37</v>
      </c>
      <c r="I41" s="2">
        <v>81582.720000000001</v>
      </c>
      <c r="J41">
        <v>81</v>
      </c>
      <c r="K41">
        <v>7</v>
      </c>
      <c r="L41">
        <v>104</v>
      </c>
      <c r="M41">
        <v>3</v>
      </c>
      <c r="N41">
        <v>17</v>
      </c>
      <c r="O41" s="2">
        <v>149404.09</v>
      </c>
      <c r="P41" s="2">
        <v>115</v>
      </c>
      <c r="Q41" s="2">
        <v>116.78</v>
      </c>
    </row>
    <row r="42" spans="1:17" x14ac:dyDescent="0.45">
      <c r="A42" s="1">
        <v>44896</v>
      </c>
      <c r="B42">
        <v>2023</v>
      </c>
      <c r="C42">
        <v>3</v>
      </c>
      <c r="D42" t="s">
        <v>19</v>
      </c>
      <c r="E42" s="2">
        <v>5142000</v>
      </c>
      <c r="F42" s="2">
        <v>457176.6</v>
      </c>
      <c r="G42" s="2">
        <v>370167.94</v>
      </c>
      <c r="H42" s="2">
        <v>78803.570000000007</v>
      </c>
      <c r="I42" s="2">
        <v>10785.85</v>
      </c>
      <c r="J42">
        <v>37</v>
      </c>
      <c r="K42">
        <v>3</v>
      </c>
      <c r="L42">
        <v>62</v>
      </c>
      <c r="M42">
        <v>1</v>
      </c>
      <c r="N42">
        <v>9</v>
      </c>
      <c r="O42" s="2">
        <v>20401</v>
      </c>
      <c r="P42" s="2">
        <v>109.08</v>
      </c>
      <c r="Q42" s="2">
        <v>107.81</v>
      </c>
    </row>
    <row r="43" spans="1:17" x14ac:dyDescent="0.45">
      <c r="A43" s="1">
        <v>44652</v>
      </c>
      <c r="B43">
        <v>2022</v>
      </c>
      <c r="C43">
        <v>7</v>
      </c>
      <c r="D43" t="s">
        <v>27</v>
      </c>
      <c r="E43" s="2">
        <v>25875000</v>
      </c>
      <c r="F43" s="2">
        <v>2367954.96</v>
      </c>
      <c r="G43" s="2">
        <v>1672249.32</v>
      </c>
      <c r="H43" s="2">
        <v>579354.32999999996</v>
      </c>
      <c r="I43" s="2">
        <v>226389.34</v>
      </c>
      <c r="J43">
        <v>203</v>
      </c>
      <c r="K43">
        <v>17</v>
      </c>
      <c r="L43">
        <v>759</v>
      </c>
      <c r="M43">
        <v>8</v>
      </c>
      <c r="N43">
        <v>33</v>
      </c>
      <c r="O43" s="2">
        <v>516339.95</v>
      </c>
      <c r="P43" s="2">
        <v>107.63</v>
      </c>
      <c r="Q43" s="2">
        <v>104.91</v>
      </c>
    </row>
    <row r="44" spans="1:17" x14ac:dyDescent="0.45">
      <c r="A44" s="1">
        <v>45261</v>
      </c>
      <c r="B44">
        <v>2024</v>
      </c>
      <c r="C44">
        <v>3</v>
      </c>
      <c r="D44" t="s">
        <v>28</v>
      </c>
      <c r="E44" s="2">
        <v>24392000</v>
      </c>
      <c r="F44" s="2">
        <v>2339036.21</v>
      </c>
      <c r="G44" s="2">
        <v>1780143.01</v>
      </c>
      <c r="H44" s="2">
        <v>536115.89</v>
      </c>
      <c r="I44" s="2">
        <v>67011.94</v>
      </c>
      <c r="J44">
        <v>188</v>
      </c>
      <c r="K44">
        <v>12</v>
      </c>
      <c r="L44">
        <v>756</v>
      </c>
      <c r="M44">
        <v>10</v>
      </c>
      <c r="N44">
        <v>38</v>
      </c>
      <c r="O44" s="2">
        <v>665383.78</v>
      </c>
      <c r="P44" s="2">
        <v>100.76</v>
      </c>
      <c r="Q44" s="2">
        <v>110.73</v>
      </c>
    </row>
    <row r="45" spans="1:17" x14ac:dyDescent="0.45">
      <c r="A45" s="1">
        <v>44774</v>
      </c>
      <c r="B45">
        <v>2022</v>
      </c>
      <c r="C45">
        <v>11</v>
      </c>
      <c r="D45" t="s">
        <v>18</v>
      </c>
      <c r="E45" s="2">
        <v>3622000</v>
      </c>
      <c r="F45" s="2">
        <v>315756.79999999999</v>
      </c>
      <c r="G45" s="2">
        <v>267623.18</v>
      </c>
      <c r="H45" s="2">
        <v>40728.410000000003</v>
      </c>
      <c r="I45" s="2">
        <v>1832.79</v>
      </c>
      <c r="J45">
        <v>28</v>
      </c>
      <c r="K45">
        <v>4</v>
      </c>
      <c r="L45">
        <v>31</v>
      </c>
      <c r="M45">
        <v>3</v>
      </c>
      <c r="N45">
        <v>17</v>
      </c>
      <c r="O45" s="2">
        <v>31747.65</v>
      </c>
      <c r="P45" s="2">
        <v>108.87</v>
      </c>
      <c r="Q45" s="2">
        <v>106.13</v>
      </c>
    </row>
    <row r="46" spans="1:17" x14ac:dyDescent="0.45">
      <c r="A46" s="1">
        <v>45536</v>
      </c>
      <c r="B46">
        <v>2024</v>
      </c>
      <c r="C46">
        <v>12</v>
      </c>
      <c r="D46" t="s">
        <v>28</v>
      </c>
      <c r="E46" s="2">
        <v>24392000</v>
      </c>
      <c r="F46" s="2">
        <v>2169427.0299999998</v>
      </c>
      <c r="G46" s="2">
        <v>1621618.98</v>
      </c>
      <c r="H46" s="2">
        <v>398488.52</v>
      </c>
      <c r="I46" s="2">
        <v>64113.23</v>
      </c>
      <c r="J46">
        <v>174</v>
      </c>
      <c r="K46">
        <v>12</v>
      </c>
      <c r="L46">
        <v>695</v>
      </c>
      <c r="M46">
        <v>11</v>
      </c>
      <c r="N46">
        <v>37</v>
      </c>
      <c r="O46" s="2">
        <v>743405.63</v>
      </c>
      <c r="P46" s="2">
        <v>105.93</v>
      </c>
      <c r="Q46" s="2">
        <v>113.21</v>
      </c>
    </row>
    <row r="47" spans="1:17" x14ac:dyDescent="0.45">
      <c r="A47" s="1">
        <v>44197</v>
      </c>
      <c r="B47">
        <v>2021</v>
      </c>
      <c r="C47">
        <v>4</v>
      </c>
      <c r="D47" t="s">
        <v>22</v>
      </c>
      <c r="E47" s="2">
        <v>6200000</v>
      </c>
      <c r="F47" s="2">
        <v>563434.81999999995</v>
      </c>
      <c r="G47" s="2">
        <v>267323.62</v>
      </c>
      <c r="H47" s="2">
        <v>180598.12</v>
      </c>
      <c r="I47" s="2">
        <v>106717</v>
      </c>
      <c r="J47">
        <v>31</v>
      </c>
      <c r="K47">
        <v>1</v>
      </c>
      <c r="L47">
        <v>35</v>
      </c>
      <c r="M47">
        <v>3</v>
      </c>
      <c r="N47">
        <v>14</v>
      </c>
      <c r="O47" s="2">
        <v>52573.97</v>
      </c>
      <c r="P47" s="2">
        <v>101.21</v>
      </c>
      <c r="Q47" s="2">
        <v>100.11</v>
      </c>
    </row>
    <row r="48" spans="1:17" x14ac:dyDescent="0.45">
      <c r="A48" s="1">
        <v>45444</v>
      </c>
      <c r="B48">
        <v>2024</v>
      </c>
      <c r="C48">
        <v>9</v>
      </c>
      <c r="D48" t="s">
        <v>23</v>
      </c>
      <c r="E48" s="2">
        <v>21066000</v>
      </c>
      <c r="F48" s="2">
        <v>1564779.4</v>
      </c>
      <c r="G48" s="2">
        <v>828790.11</v>
      </c>
      <c r="H48" s="2">
        <v>678802.56</v>
      </c>
      <c r="I48" s="2">
        <v>102588.93</v>
      </c>
      <c r="J48">
        <v>98</v>
      </c>
      <c r="K48">
        <v>9</v>
      </c>
      <c r="L48">
        <v>392</v>
      </c>
      <c r="M48">
        <v>11</v>
      </c>
      <c r="N48">
        <v>37</v>
      </c>
      <c r="O48" s="2">
        <v>637286.81000000006</v>
      </c>
      <c r="P48" s="2">
        <v>99.59</v>
      </c>
      <c r="Q48" s="2">
        <v>112.02</v>
      </c>
    </row>
    <row r="49" spans="1:17" x14ac:dyDescent="0.45">
      <c r="A49" s="1">
        <v>45139</v>
      </c>
      <c r="B49">
        <v>2023</v>
      </c>
      <c r="C49">
        <v>11</v>
      </c>
      <c r="D49" t="s">
        <v>22</v>
      </c>
      <c r="E49" s="2">
        <v>6642000</v>
      </c>
      <c r="F49" s="2">
        <v>557746.56000000006</v>
      </c>
      <c r="G49" s="2">
        <v>288117.23</v>
      </c>
      <c r="H49" s="2">
        <v>236840.4</v>
      </c>
      <c r="I49" s="2">
        <v>37864.82</v>
      </c>
      <c r="J49">
        <v>31</v>
      </c>
      <c r="K49">
        <v>3</v>
      </c>
      <c r="L49">
        <v>50</v>
      </c>
      <c r="M49">
        <v>2</v>
      </c>
      <c r="N49">
        <v>11</v>
      </c>
      <c r="O49" s="2">
        <v>38130.699999999997</v>
      </c>
      <c r="P49" s="2">
        <v>106.67</v>
      </c>
      <c r="Q49" s="2">
        <v>109.95</v>
      </c>
    </row>
    <row r="50" spans="1:17" x14ac:dyDescent="0.45">
      <c r="A50" s="1">
        <v>44652</v>
      </c>
      <c r="B50">
        <v>2022</v>
      </c>
      <c r="C50">
        <v>7</v>
      </c>
      <c r="D50" t="s">
        <v>23</v>
      </c>
      <c r="E50" s="2">
        <v>19665000</v>
      </c>
      <c r="F50" s="2">
        <v>1641174.34</v>
      </c>
      <c r="G50" s="2">
        <v>711330.01</v>
      </c>
      <c r="H50" s="2">
        <v>840333.99</v>
      </c>
      <c r="I50" s="2">
        <v>115248.15</v>
      </c>
      <c r="J50">
        <v>93</v>
      </c>
      <c r="K50">
        <v>6</v>
      </c>
      <c r="L50">
        <v>244</v>
      </c>
      <c r="M50">
        <v>8</v>
      </c>
      <c r="N50">
        <v>34</v>
      </c>
      <c r="O50" s="2">
        <v>307074.53999999998</v>
      </c>
      <c r="P50" s="2">
        <v>111.1</v>
      </c>
      <c r="Q50" s="2">
        <v>104.37</v>
      </c>
    </row>
    <row r="51" spans="1:17" x14ac:dyDescent="0.45">
      <c r="A51" s="1">
        <v>44896</v>
      </c>
      <c r="B51">
        <v>2023</v>
      </c>
      <c r="C51">
        <v>3</v>
      </c>
      <c r="D51" t="s">
        <v>25</v>
      </c>
      <c r="E51" s="2">
        <v>4499000</v>
      </c>
      <c r="F51" s="2">
        <v>391352.89</v>
      </c>
      <c r="G51" s="2">
        <v>297306.46999999997</v>
      </c>
      <c r="H51" s="2">
        <v>82196.91</v>
      </c>
      <c r="I51" s="2">
        <v>7391.51</v>
      </c>
      <c r="J51">
        <v>31</v>
      </c>
      <c r="K51">
        <v>3</v>
      </c>
      <c r="L51">
        <v>33</v>
      </c>
      <c r="M51">
        <v>1</v>
      </c>
      <c r="N51">
        <v>11</v>
      </c>
      <c r="O51" s="2">
        <v>19994.79</v>
      </c>
      <c r="P51" s="2">
        <v>107.13</v>
      </c>
      <c r="Q51" s="2">
        <v>107.54</v>
      </c>
    </row>
    <row r="52" spans="1:17" x14ac:dyDescent="0.45">
      <c r="A52" s="1">
        <v>45383</v>
      </c>
      <c r="B52">
        <v>2024</v>
      </c>
      <c r="C52">
        <v>7</v>
      </c>
      <c r="D52" t="s">
        <v>19</v>
      </c>
      <c r="E52" s="2">
        <v>5322000</v>
      </c>
      <c r="F52" s="2">
        <v>466338.32</v>
      </c>
      <c r="G52" s="2">
        <v>378490.2</v>
      </c>
      <c r="H52" s="2">
        <v>67937.78</v>
      </c>
      <c r="I52" s="2">
        <v>11398.64</v>
      </c>
      <c r="J52">
        <v>37</v>
      </c>
      <c r="K52">
        <v>3</v>
      </c>
      <c r="L52">
        <v>55</v>
      </c>
      <c r="M52">
        <v>0</v>
      </c>
      <c r="N52">
        <v>8</v>
      </c>
      <c r="O52" s="2">
        <v>7154.76</v>
      </c>
      <c r="P52" s="2">
        <v>99.33</v>
      </c>
      <c r="Q52" s="2">
        <v>112.17</v>
      </c>
    </row>
    <row r="53" spans="1:17" x14ac:dyDescent="0.45">
      <c r="A53" s="1">
        <v>45200</v>
      </c>
      <c r="B53">
        <v>2024</v>
      </c>
      <c r="C53">
        <v>1</v>
      </c>
      <c r="D53" t="s">
        <v>27</v>
      </c>
      <c r="E53" s="2">
        <v>27718000</v>
      </c>
      <c r="F53" s="2">
        <v>2335809.67</v>
      </c>
      <c r="G53" s="2">
        <v>1787206.39</v>
      </c>
      <c r="H53" s="2">
        <v>498735.96</v>
      </c>
      <c r="I53" s="2">
        <v>83233.66</v>
      </c>
      <c r="J53">
        <v>208</v>
      </c>
      <c r="K53">
        <v>17</v>
      </c>
      <c r="L53">
        <v>796</v>
      </c>
      <c r="M53">
        <v>10</v>
      </c>
      <c r="N53">
        <v>39</v>
      </c>
      <c r="O53" s="2">
        <v>744941.43</v>
      </c>
      <c r="P53" s="2">
        <v>100.76</v>
      </c>
      <c r="Q53" s="2">
        <v>109.88</v>
      </c>
    </row>
    <row r="54" spans="1:17" x14ac:dyDescent="0.45">
      <c r="A54" s="1">
        <v>44713</v>
      </c>
      <c r="B54">
        <v>2022</v>
      </c>
      <c r="C54">
        <v>9</v>
      </c>
      <c r="D54" t="s">
        <v>17</v>
      </c>
      <c r="E54" s="2">
        <v>7555000</v>
      </c>
      <c r="F54" s="2">
        <v>569928.94999999995</v>
      </c>
      <c r="G54" s="2">
        <v>343381.8</v>
      </c>
      <c r="H54" s="2">
        <v>230815.31</v>
      </c>
      <c r="I54" s="2">
        <v>11370.2</v>
      </c>
      <c r="J54">
        <v>43</v>
      </c>
      <c r="K54">
        <v>0</v>
      </c>
      <c r="L54">
        <v>71</v>
      </c>
      <c r="M54">
        <v>1</v>
      </c>
      <c r="N54">
        <v>13</v>
      </c>
      <c r="O54" s="2">
        <v>24042.400000000001</v>
      </c>
      <c r="P54" s="2">
        <v>106.73</v>
      </c>
      <c r="Q54" s="2">
        <v>105.89</v>
      </c>
    </row>
    <row r="55" spans="1:17" x14ac:dyDescent="0.45">
      <c r="A55" s="1">
        <v>44501</v>
      </c>
      <c r="B55">
        <v>2022</v>
      </c>
      <c r="C55">
        <v>2</v>
      </c>
      <c r="D55" t="s">
        <v>21</v>
      </c>
      <c r="E55" s="2">
        <v>8280000</v>
      </c>
      <c r="F55" s="2">
        <v>722309.77</v>
      </c>
      <c r="G55" s="2">
        <v>430383.57</v>
      </c>
      <c r="H55" s="2">
        <v>238688.68</v>
      </c>
      <c r="I55" s="2">
        <v>19538.25</v>
      </c>
      <c r="J55">
        <v>64</v>
      </c>
      <c r="K55">
        <v>3</v>
      </c>
      <c r="L55">
        <v>137</v>
      </c>
      <c r="M55">
        <v>6</v>
      </c>
      <c r="N55">
        <v>23</v>
      </c>
      <c r="O55" s="2">
        <v>84114.58</v>
      </c>
      <c r="P55" s="2">
        <v>105.79</v>
      </c>
      <c r="Q55" s="2">
        <v>102.58</v>
      </c>
    </row>
    <row r="56" spans="1:17" x14ac:dyDescent="0.45">
      <c r="A56" s="1">
        <v>44986</v>
      </c>
      <c r="B56">
        <v>2023</v>
      </c>
      <c r="C56">
        <v>6</v>
      </c>
      <c r="D56" t="s">
        <v>28</v>
      </c>
      <c r="E56" s="2">
        <v>23567000</v>
      </c>
      <c r="F56" s="2">
        <v>2011128.14</v>
      </c>
      <c r="G56" s="2">
        <v>1616599.17</v>
      </c>
      <c r="H56" s="2">
        <v>422605.37</v>
      </c>
      <c r="I56" s="2">
        <v>22269.31</v>
      </c>
      <c r="J56">
        <v>180</v>
      </c>
      <c r="K56">
        <v>13</v>
      </c>
      <c r="L56">
        <v>576</v>
      </c>
      <c r="M56">
        <v>6</v>
      </c>
      <c r="N56">
        <v>31</v>
      </c>
      <c r="O56" s="2">
        <v>430766.51</v>
      </c>
      <c r="P56" s="2">
        <v>105.46</v>
      </c>
      <c r="Q56" s="2">
        <v>107.9</v>
      </c>
    </row>
    <row r="57" spans="1:17" x14ac:dyDescent="0.45">
      <c r="A57" s="1">
        <v>44713</v>
      </c>
      <c r="B57">
        <v>2022</v>
      </c>
      <c r="C57">
        <v>9</v>
      </c>
      <c r="D57" t="s">
        <v>23</v>
      </c>
      <c r="E57" s="2">
        <v>19665000</v>
      </c>
      <c r="F57" s="2">
        <v>1425440.27</v>
      </c>
      <c r="G57" s="2">
        <v>750729.9</v>
      </c>
      <c r="H57" s="2">
        <v>672595.36</v>
      </c>
      <c r="I57" s="2">
        <v>54684.639999999999</v>
      </c>
      <c r="J57">
        <v>96</v>
      </c>
      <c r="K57">
        <v>8</v>
      </c>
      <c r="L57">
        <v>337</v>
      </c>
      <c r="M57">
        <v>5</v>
      </c>
      <c r="N57">
        <v>26</v>
      </c>
      <c r="O57" s="2">
        <v>192156.59</v>
      </c>
      <c r="P57" s="2">
        <v>111.6</v>
      </c>
      <c r="Q57" s="2">
        <v>104.68</v>
      </c>
    </row>
    <row r="58" spans="1:17" x14ac:dyDescent="0.45">
      <c r="A58" s="1">
        <v>44348</v>
      </c>
      <c r="B58">
        <v>2021</v>
      </c>
      <c r="C58">
        <v>9</v>
      </c>
      <c r="D58" t="s">
        <v>28</v>
      </c>
      <c r="E58" s="2">
        <v>22000000</v>
      </c>
      <c r="F58" s="2">
        <v>1789855.45</v>
      </c>
      <c r="G58" s="2">
        <v>1506975.11</v>
      </c>
      <c r="H58" s="2">
        <v>330957.13</v>
      </c>
      <c r="I58" s="2">
        <v>33019.99</v>
      </c>
      <c r="J58">
        <v>180</v>
      </c>
      <c r="K58">
        <v>13</v>
      </c>
      <c r="L58">
        <v>799</v>
      </c>
      <c r="M58">
        <v>4</v>
      </c>
      <c r="N58">
        <v>26</v>
      </c>
      <c r="O58" s="2">
        <v>312922.59000000003</v>
      </c>
      <c r="P58" s="2">
        <v>104.63</v>
      </c>
      <c r="Q58" s="2">
        <v>101.25</v>
      </c>
    </row>
    <row r="59" spans="1:17" x14ac:dyDescent="0.45">
      <c r="A59" s="1">
        <v>44986</v>
      </c>
      <c r="B59">
        <v>2023</v>
      </c>
      <c r="C59">
        <v>6</v>
      </c>
      <c r="D59" t="s">
        <v>18</v>
      </c>
      <c r="E59" s="2">
        <v>3749000</v>
      </c>
      <c r="F59" s="2">
        <v>326661.26</v>
      </c>
      <c r="G59" s="2">
        <v>279725.65000000002</v>
      </c>
      <c r="H59" s="2">
        <v>42384.43</v>
      </c>
      <c r="I59" s="2">
        <v>6479.36</v>
      </c>
      <c r="J59">
        <v>28</v>
      </c>
      <c r="K59">
        <v>3</v>
      </c>
      <c r="L59">
        <v>40</v>
      </c>
      <c r="M59">
        <v>1</v>
      </c>
      <c r="N59">
        <v>8</v>
      </c>
      <c r="O59" s="2">
        <v>9327.09</v>
      </c>
      <c r="P59" s="2">
        <v>106.44</v>
      </c>
      <c r="Q59" s="2">
        <v>107.85</v>
      </c>
    </row>
    <row r="60" spans="1:17" x14ac:dyDescent="0.45">
      <c r="A60" s="1">
        <v>45078</v>
      </c>
      <c r="B60">
        <v>2023</v>
      </c>
      <c r="C60">
        <v>9</v>
      </c>
      <c r="D60" t="s">
        <v>21</v>
      </c>
      <c r="E60" s="2">
        <v>8570000</v>
      </c>
      <c r="F60" s="2">
        <v>719141</v>
      </c>
      <c r="G60" s="2">
        <v>470651.5</v>
      </c>
      <c r="H60" s="2">
        <v>216706.53</v>
      </c>
      <c r="I60" s="2">
        <v>30387.99</v>
      </c>
      <c r="J60">
        <v>68</v>
      </c>
      <c r="K60">
        <v>3</v>
      </c>
      <c r="L60">
        <v>63</v>
      </c>
      <c r="M60">
        <v>4</v>
      </c>
      <c r="N60">
        <v>12</v>
      </c>
      <c r="O60" s="2">
        <v>71984.600000000006</v>
      </c>
      <c r="P60" s="2">
        <v>106.14</v>
      </c>
      <c r="Q60" s="2">
        <v>109.52</v>
      </c>
    </row>
    <row r="61" spans="1:17" x14ac:dyDescent="0.45">
      <c r="A61" s="1">
        <v>44409</v>
      </c>
      <c r="B61">
        <v>2021</v>
      </c>
      <c r="C61">
        <v>11</v>
      </c>
      <c r="D61" t="s">
        <v>19</v>
      </c>
      <c r="E61" s="2">
        <v>4800000</v>
      </c>
      <c r="F61" s="2">
        <v>396322.24</v>
      </c>
      <c r="G61" s="2">
        <v>323381.67</v>
      </c>
      <c r="H61" s="2">
        <v>60446.22</v>
      </c>
      <c r="I61" s="2">
        <v>9775.4</v>
      </c>
      <c r="J61">
        <v>36</v>
      </c>
      <c r="K61">
        <v>6</v>
      </c>
      <c r="L61">
        <v>32</v>
      </c>
      <c r="M61">
        <v>0</v>
      </c>
      <c r="N61">
        <v>13</v>
      </c>
      <c r="O61" s="2">
        <v>9596.1200000000008</v>
      </c>
      <c r="P61" s="2">
        <v>105.66</v>
      </c>
      <c r="Q61" s="2">
        <v>102.04</v>
      </c>
    </row>
    <row r="62" spans="1:17" x14ac:dyDescent="0.45">
      <c r="A62" s="1">
        <v>44501</v>
      </c>
      <c r="B62">
        <v>2022</v>
      </c>
      <c r="C62">
        <v>2</v>
      </c>
      <c r="D62" t="s">
        <v>19</v>
      </c>
      <c r="E62" s="2">
        <v>4968000</v>
      </c>
      <c r="F62" s="2">
        <v>417332.77</v>
      </c>
      <c r="G62" s="2">
        <v>345592.43</v>
      </c>
      <c r="H62" s="2">
        <v>67741.22</v>
      </c>
      <c r="I62" s="2">
        <v>5938.43</v>
      </c>
      <c r="J62">
        <v>36</v>
      </c>
      <c r="K62">
        <v>0</v>
      </c>
      <c r="L62">
        <v>24</v>
      </c>
      <c r="M62">
        <v>1</v>
      </c>
      <c r="N62">
        <v>6</v>
      </c>
      <c r="O62" s="2">
        <v>16395.54</v>
      </c>
      <c r="P62" s="2">
        <v>112.2</v>
      </c>
      <c r="Q62" s="2">
        <v>103.32</v>
      </c>
    </row>
    <row r="63" spans="1:17" x14ac:dyDescent="0.45">
      <c r="A63" s="1">
        <v>44866</v>
      </c>
      <c r="B63">
        <v>2023</v>
      </c>
      <c r="C63">
        <v>2</v>
      </c>
      <c r="D63" t="s">
        <v>21</v>
      </c>
      <c r="E63" s="2">
        <v>8570000</v>
      </c>
      <c r="F63" s="2">
        <v>710985.3</v>
      </c>
      <c r="G63" s="2">
        <v>480352.42</v>
      </c>
      <c r="H63" s="2">
        <v>198327.34</v>
      </c>
      <c r="I63" s="2">
        <v>33558.019999999997</v>
      </c>
      <c r="J63">
        <v>67</v>
      </c>
      <c r="K63">
        <v>4</v>
      </c>
      <c r="L63">
        <v>42</v>
      </c>
      <c r="M63">
        <v>2</v>
      </c>
      <c r="N63">
        <v>13</v>
      </c>
      <c r="O63" s="2">
        <v>39284.5</v>
      </c>
      <c r="P63" s="2">
        <v>110.2</v>
      </c>
      <c r="Q63" s="2">
        <v>106.92</v>
      </c>
    </row>
    <row r="64" spans="1:17" x14ac:dyDescent="0.45">
      <c r="A64" s="1">
        <v>45139</v>
      </c>
      <c r="B64">
        <v>2023</v>
      </c>
      <c r="C64">
        <v>11</v>
      </c>
      <c r="D64" t="s">
        <v>27</v>
      </c>
      <c r="E64" s="2">
        <v>26781000</v>
      </c>
      <c r="F64" s="2">
        <v>2679033.2000000002</v>
      </c>
      <c r="G64" s="2">
        <v>1803262.1</v>
      </c>
      <c r="H64" s="2">
        <v>449169.89</v>
      </c>
      <c r="I64" s="2">
        <v>316531.46000000002</v>
      </c>
      <c r="J64">
        <v>208</v>
      </c>
      <c r="K64">
        <v>15</v>
      </c>
      <c r="L64">
        <v>853</v>
      </c>
      <c r="M64">
        <v>5</v>
      </c>
      <c r="N64">
        <v>26</v>
      </c>
      <c r="O64" s="2">
        <v>439753.09</v>
      </c>
      <c r="P64" s="2">
        <v>102.3</v>
      </c>
      <c r="Q64" s="2">
        <v>110.34</v>
      </c>
    </row>
    <row r="65" spans="1:17" x14ac:dyDescent="0.45">
      <c r="A65" s="1">
        <v>45078</v>
      </c>
      <c r="B65">
        <v>2023</v>
      </c>
      <c r="C65">
        <v>9</v>
      </c>
      <c r="D65" t="s">
        <v>17</v>
      </c>
      <c r="E65" s="2">
        <v>7820000</v>
      </c>
      <c r="F65" s="2">
        <v>642399.49</v>
      </c>
      <c r="G65" s="2">
        <v>327593.32</v>
      </c>
      <c r="H65" s="2">
        <v>280714.58</v>
      </c>
      <c r="I65" s="2">
        <v>44834.080000000002</v>
      </c>
      <c r="J65">
        <v>41</v>
      </c>
      <c r="K65">
        <v>0</v>
      </c>
      <c r="L65">
        <v>86</v>
      </c>
      <c r="M65">
        <v>3</v>
      </c>
      <c r="N65">
        <v>17</v>
      </c>
      <c r="O65" s="2">
        <v>48961.02</v>
      </c>
      <c r="P65" s="2">
        <v>105.13</v>
      </c>
      <c r="Q65" s="2">
        <v>109.01</v>
      </c>
    </row>
    <row r="66" spans="1:17" x14ac:dyDescent="0.45">
      <c r="A66" s="1">
        <v>45139</v>
      </c>
      <c r="B66">
        <v>2023</v>
      </c>
      <c r="C66">
        <v>11</v>
      </c>
      <c r="D66" t="s">
        <v>18</v>
      </c>
      <c r="E66" s="2">
        <v>3749000</v>
      </c>
      <c r="F66" s="2">
        <v>305937.7</v>
      </c>
      <c r="G66" s="2">
        <v>258961.12</v>
      </c>
      <c r="H66" s="2">
        <v>39401.65</v>
      </c>
      <c r="I66" s="2">
        <v>2882.26</v>
      </c>
      <c r="J66">
        <v>26</v>
      </c>
      <c r="K66">
        <v>0</v>
      </c>
      <c r="L66">
        <v>40</v>
      </c>
      <c r="M66">
        <v>2</v>
      </c>
      <c r="N66">
        <v>14</v>
      </c>
      <c r="O66" s="2">
        <v>22444.43</v>
      </c>
      <c r="P66" s="2">
        <v>102.15</v>
      </c>
      <c r="Q66" s="2">
        <v>109.56</v>
      </c>
    </row>
    <row r="67" spans="1:17" x14ac:dyDescent="0.45">
      <c r="A67" s="1">
        <v>45901</v>
      </c>
      <c r="B67">
        <v>2025</v>
      </c>
      <c r="C67">
        <v>12</v>
      </c>
      <c r="D67" t="s">
        <v>27</v>
      </c>
      <c r="E67" s="2">
        <v>28688000</v>
      </c>
      <c r="F67" s="2">
        <v>2530048.5</v>
      </c>
      <c r="G67" s="2">
        <v>1892707.42</v>
      </c>
      <c r="H67" s="2">
        <v>497644.56</v>
      </c>
      <c r="I67" s="2">
        <v>87171.01</v>
      </c>
      <c r="J67">
        <v>212</v>
      </c>
      <c r="K67">
        <v>17</v>
      </c>
      <c r="L67">
        <v>887</v>
      </c>
      <c r="M67">
        <v>10</v>
      </c>
      <c r="N67">
        <v>41</v>
      </c>
      <c r="O67" s="2">
        <v>816055.17</v>
      </c>
      <c r="P67" s="2">
        <v>113.38</v>
      </c>
      <c r="Q67" s="2">
        <v>116.96</v>
      </c>
    </row>
    <row r="68" spans="1:17" x14ac:dyDescent="0.45">
      <c r="A68" s="1">
        <v>44743</v>
      </c>
      <c r="B68">
        <v>2022</v>
      </c>
      <c r="C68">
        <v>10</v>
      </c>
      <c r="D68" t="s">
        <v>19</v>
      </c>
      <c r="E68" s="2">
        <v>4968000</v>
      </c>
      <c r="F68" s="2">
        <v>406280.37</v>
      </c>
      <c r="G68" s="2">
        <v>345235.19</v>
      </c>
      <c r="H68" s="2">
        <v>61439.34</v>
      </c>
      <c r="I68" s="2">
        <v>8286.48</v>
      </c>
      <c r="J68">
        <v>35</v>
      </c>
      <c r="K68">
        <v>2</v>
      </c>
      <c r="L68">
        <v>57</v>
      </c>
      <c r="M68">
        <v>1</v>
      </c>
      <c r="N68">
        <v>10</v>
      </c>
      <c r="O68" s="2">
        <v>20014.46</v>
      </c>
      <c r="P68" s="2">
        <v>110.96</v>
      </c>
      <c r="Q68" s="2">
        <v>106</v>
      </c>
    </row>
    <row r="69" spans="1:17" x14ac:dyDescent="0.45">
      <c r="A69" s="1">
        <v>44440</v>
      </c>
      <c r="B69">
        <v>2021</v>
      </c>
      <c r="C69">
        <v>12</v>
      </c>
      <c r="D69" t="s">
        <v>24</v>
      </c>
      <c r="E69" s="2">
        <v>13500000</v>
      </c>
      <c r="F69" s="2">
        <v>1065746.07</v>
      </c>
      <c r="G69" s="2">
        <v>549884.12</v>
      </c>
      <c r="H69" s="2">
        <v>464592.62</v>
      </c>
      <c r="I69" s="2">
        <v>54554.34</v>
      </c>
      <c r="J69">
        <v>79</v>
      </c>
      <c r="K69">
        <v>2</v>
      </c>
      <c r="L69">
        <v>104</v>
      </c>
      <c r="M69">
        <v>6</v>
      </c>
      <c r="N69">
        <v>26</v>
      </c>
      <c r="O69" s="2">
        <v>202457.61</v>
      </c>
      <c r="P69" s="2">
        <v>106.27</v>
      </c>
      <c r="Q69" s="2">
        <v>103.2</v>
      </c>
    </row>
    <row r="70" spans="1:17" x14ac:dyDescent="0.45">
      <c r="A70" s="1">
        <v>44652</v>
      </c>
      <c r="B70">
        <v>2022</v>
      </c>
      <c r="C70">
        <v>7</v>
      </c>
      <c r="D70" t="s">
        <v>18</v>
      </c>
      <c r="E70" s="2">
        <v>3622000</v>
      </c>
      <c r="F70" s="2">
        <v>308579.74</v>
      </c>
      <c r="G70" s="2">
        <v>259292.08</v>
      </c>
      <c r="H70" s="2">
        <v>43447.57</v>
      </c>
      <c r="I70" s="2">
        <v>5598.01</v>
      </c>
      <c r="J70">
        <v>27</v>
      </c>
      <c r="K70">
        <v>0</v>
      </c>
      <c r="L70">
        <v>32</v>
      </c>
      <c r="M70">
        <v>3</v>
      </c>
      <c r="N70">
        <v>15</v>
      </c>
      <c r="O70" s="2">
        <v>27835.16</v>
      </c>
      <c r="P70" s="2">
        <v>111.98</v>
      </c>
      <c r="Q70" s="2">
        <v>105.12</v>
      </c>
    </row>
    <row r="71" spans="1:17" x14ac:dyDescent="0.45">
      <c r="A71" s="1">
        <v>45047</v>
      </c>
      <c r="B71">
        <v>2023</v>
      </c>
      <c r="C71">
        <v>8</v>
      </c>
      <c r="D71" t="s">
        <v>18</v>
      </c>
      <c r="E71" s="2">
        <v>3749000</v>
      </c>
      <c r="F71" s="2">
        <v>358246.65</v>
      </c>
      <c r="G71" s="2">
        <v>297333.49</v>
      </c>
      <c r="H71" s="2">
        <v>42725.65</v>
      </c>
      <c r="I71" s="2">
        <v>20195.900000000001</v>
      </c>
      <c r="J71">
        <v>29</v>
      </c>
      <c r="K71">
        <v>1</v>
      </c>
      <c r="L71">
        <v>53</v>
      </c>
      <c r="M71">
        <v>3</v>
      </c>
      <c r="N71">
        <v>15</v>
      </c>
      <c r="O71" s="2">
        <v>33736.660000000003</v>
      </c>
      <c r="P71" s="2">
        <v>104.88</v>
      </c>
      <c r="Q71" s="2">
        <v>109.07</v>
      </c>
    </row>
    <row r="72" spans="1:17" x14ac:dyDescent="0.45">
      <c r="A72" s="1">
        <v>45139</v>
      </c>
      <c r="B72">
        <v>2023</v>
      </c>
      <c r="C72">
        <v>11</v>
      </c>
      <c r="D72" t="s">
        <v>21</v>
      </c>
      <c r="E72" s="2">
        <v>8570000</v>
      </c>
      <c r="F72" s="2">
        <v>805745.46</v>
      </c>
      <c r="G72" s="2">
        <v>462394.24</v>
      </c>
      <c r="H72" s="2">
        <v>214796.38</v>
      </c>
      <c r="I72" s="2">
        <v>134251.26999999999</v>
      </c>
      <c r="J72">
        <v>64</v>
      </c>
      <c r="K72">
        <v>2</v>
      </c>
      <c r="L72">
        <v>149</v>
      </c>
      <c r="M72">
        <v>1</v>
      </c>
      <c r="N72">
        <v>16</v>
      </c>
      <c r="O72" s="2">
        <v>32690.89</v>
      </c>
      <c r="P72" s="2">
        <v>102.39</v>
      </c>
      <c r="Q72" s="2">
        <v>108.5</v>
      </c>
    </row>
    <row r="73" spans="1:17" x14ac:dyDescent="0.45">
      <c r="A73" s="1">
        <v>44440</v>
      </c>
      <c r="B73">
        <v>2021</v>
      </c>
      <c r="C73">
        <v>12</v>
      </c>
      <c r="D73" t="s">
        <v>19</v>
      </c>
      <c r="E73" s="2">
        <v>4800000</v>
      </c>
      <c r="F73" s="2">
        <v>423164.1</v>
      </c>
      <c r="G73" s="2">
        <v>342691.35</v>
      </c>
      <c r="H73" s="2">
        <v>63335.65</v>
      </c>
      <c r="I73" s="2">
        <v>8298.92</v>
      </c>
      <c r="J73">
        <v>37</v>
      </c>
      <c r="K73">
        <v>2</v>
      </c>
      <c r="L73">
        <v>85</v>
      </c>
      <c r="M73">
        <v>4</v>
      </c>
      <c r="N73">
        <v>20</v>
      </c>
      <c r="O73" s="2">
        <v>51037.96</v>
      </c>
      <c r="P73" s="2">
        <v>108.8</v>
      </c>
      <c r="Q73" s="2">
        <v>102.22</v>
      </c>
    </row>
    <row r="74" spans="1:17" x14ac:dyDescent="0.45">
      <c r="A74" s="1">
        <v>45231</v>
      </c>
      <c r="B74">
        <v>2024</v>
      </c>
      <c r="C74">
        <v>2</v>
      </c>
      <c r="D74" t="s">
        <v>17</v>
      </c>
      <c r="E74" s="2">
        <v>8094000</v>
      </c>
      <c r="F74" s="2">
        <v>663063.84</v>
      </c>
      <c r="G74" s="2">
        <v>353305.03</v>
      </c>
      <c r="H74" s="2">
        <v>301923.93</v>
      </c>
      <c r="I74" s="2">
        <v>26150.86</v>
      </c>
      <c r="J74">
        <v>44</v>
      </c>
      <c r="K74">
        <v>3</v>
      </c>
      <c r="L74">
        <v>0</v>
      </c>
      <c r="M74">
        <v>1</v>
      </c>
      <c r="N74">
        <v>17</v>
      </c>
      <c r="O74" s="2">
        <v>30134.23</v>
      </c>
      <c r="P74" s="2">
        <v>103.41</v>
      </c>
      <c r="Q74" s="2">
        <v>111.04</v>
      </c>
    </row>
    <row r="75" spans="1:17" x14ac:dyDescent="0.45">
      <c r="A75" s="1">
        <v>44927</v>
      </c>
      <c r="B75">
        <v>2023</v>
      </c>
      <c r="C75">
        <v>4</v>
      </c>
      <c r="D75" t="s">
        <v>23</v>
      </c>
      <c r="E75" s="2">
        <v>20353000</v>
      </c>
      <c r="F75" s="2">
        <v>1348283.66</v>
      </c>
      <c r="G75" s="2">
        <v>767045.3</v>
      </c>
      <c r="H75" s="2">
        <v>702937.1</v>
      </c>
      <c r="I75" s="2">
        <v>33500.53</v>
      </c>
      <c r="J75">
        <v>94</v>
      </c>
      <c r="K75">
        <v>10</v>
      </c>
      <c r="L75">
        <v>257</v>
      </c>
      <c r="M75">
        <v>7</v>
      </c>
      <c r="N75">
        <v>30</v>
      </c>
      <c r="O75" s="2">
        <v>352939.54</v>
      </c>
      <c r="P75" s="2">
        <v>106.1</v>
      </c>
      <c r="Q75" s="2">
        <v>107.42</v>
      </c>
    </row>
    <row r="76" spans="1:17" x14ac:dyDescent="0.45">
      <c r="A76" s="1">
        <v>44409</v>
      </c>
      <c r="B76">
        <v>2021</v>
      </c>
      <c r="C76">
        <v>11</v>
      </c>
      <c r="D76" t="s">
        <v>25</v>
      </c>
      <c r="E76" s="2">
        <v>4200000</v>
      </c>
      <c r="F76" s="2">
        <v>350967.16</v>
      </c>
      <c r="G76" s="2">
        <v>295549.39</v>
      </c>
      <c r="H76" s="2">
        <v>57769.440000000002</v>
      </c>
      <c r="I76" s="2">
        <v>4936.03</v>
      </c>
      <c r="J76">
        <v>32</v>
      </c>
      <c r="K76">
        <v>2</v>
      </c>
      <c r="L76">
        <v>15</v>
      </c>
      <c r="M76">
        <v>1</v>
      </c>
      <c r="N76">
        <v>7</v>
      </c>
      <c r="O76" s="2">
        <v>15626.09</v>
      </c>
      <c r="P76" s="2">
        <v>106.97</v>
      </c>
      <c r="Q76" s="2">
        <v>103.34</v>
      </c>
    </row>
    <row r="77" spans="1:17" x14ac:dyDescent="0.45">
      <c r="A77" s="1">
        <v>44348</v>
      </c>
      <c r="B77">
        <v>2021</v>
      </c>
      <c r="C77">
        <v>9</v>
      </c>
      <c r="D77" t="s">
        <v>23</v>
      </c>
      <c r="E77" s="2">
        <v>19000000</v>
      </c>
      <c r="F77" s="2">
        <v>1577067.89</v>
      </c>
      <c r="G77" s="2">
        <v>664003.32999999996</v>
      </c>
      <c r="H77" s="2">
        <v>737290.18</v>
      </c>
      <c r="I77" s="2">
        <v>124674.56</v>
      </c>
      <c r="J77">
        <v>89</v>
      </c>
      <c r="K77">
        <v>4</v>
      </c>
      <c r="L77">
        <v>314</v>
      </c>
      <c r="M77">
        <v>6</v>
      </c>
      <c r="N77">
        <v>28</v>
      </c>
      <c r="O77" s="2">
        <v>305381.3</v>
      </c>
      <c r="P77" s="2">
        <v>107.95</v>
      </c>
      <c r="Q77" s="2">
        <v>101.64</v>
      </c>
    </row>
    <row r="78" spans="1:17" x14ac:dyDescent="0.45">
      <c r="A78" s="1">
        <v>45809</v>
      </c>
      <c r="B78">
        <v>2025</v>
      </c>
      <c r="C78">
        <v>9</v>
      </c>
      <c r="D78" t="s">
        <v>25</v>
      </c>
      <c r="E78" s="2">
        <v>4820000</v>
      </c>
      <c r="F78" s="2">
        <v>423417.98</v>
      </c>
      <c r="G78" s="2">
        <v>340028.85</v>
      </c>
      <c r="H78" s="2">
        <v>69303.740000000005</v>
      </c>
      <c r="I78" s="2">
        <v>10674.35</v>
      </c>
      <c r="J78">
        <v>34</v>
      </c>
      <c r="K78">
        <v>3</v>
      </c>
      <c r="L78">
        <v>49</v>
      </c>
      <c r="M78">
        <v>1</v>
      </c>
      <c r="N78">
        <v>13</v>
      </c>
      <c r="O78" s="2">
        <v>15767.09</v>
      </c>
      <c r="P78" s="2">
        <v>115.53</v>
      </c>
      <c r="Q78" s="2">
        <v>117.24</v>
      </c>
    </row>
    <row r="79" spans="1:17" x14ac:dyDescent="0.45">
      <c r="A79" s="1">
        <v>44531</v>
      </c>
      <c r="B79">
        <v>2022</v>
      </c>
      <c r="C79">
        <v>3</v>
      </c>
      <c r="D79" t="s">
        <v>17</v>
      </c>
      <c r="E79" s="2">
        <v>7555000</v>
      </c>
      <c r="F79" s="2">
        <v>595531.02</v>
      </c>
      <c r="G79" s="2">
        <v>311481.32</v>
      </c>
      <c r="H79" s="2">
        <v>276275.76</v>
      </c>
      <c r="I79" s="2">
        <v>25783.09</v>
      </c>
      <c r="J79">
        <v>43</v>
      </c>
      <c r="K79">
        <v>7</v>
      </c>
      <c r="L79">
        <v>79</v>
      </c>
      <c r="M79">
        <v>5</v>
      </c>
      <c r="N79">
        <v>19</v>
      </c>
      <c r="O79" s="2">
        <v>67116.23</v>
      </c>
      <c r="P79" s="2">
        <v>109.55</v>
      </c>
      <c r="Q79" s="2">
        <v>103.58</v>
      </c>
    </row>
    <row r="80" spans="1:17" x14ac:dyDescent="0.45">
      <c r="A80" s="1">
        <v>45931</v>
      </c>
      <c r="B80">
        <v>2026</v>
      </c>
      <c r="C80">
        <v>1</v>
      </c>
      <c r="D80" t="s">
        <v>28</v>
      </c>
      <c r="E80" s="2">
        <v>26129000</v>
      </c>
      <c r="F80" s="2">
        <v>2483050.12</v>
      </c>
      <c r="G80" s="2">
        <v>1870989.27</v>
      </c>
      <c r="H80" s="2">
        <v>427568.95</v>
      </c>
      <c r="I80" s="2">
        <v>75206.58</v>
      </c>
      <c r="J80">
        <v>182</v>
      </c>
      <c r="K80">
        <v>11</v>
      </c>
      <c r="L80">
        <v>903</v>
      </c>
      <c r="M80">
        <v>8</v>
      </c>
      <c r="N80">
        <v>28</v>
      </c>
      <c r="O80" s="2">
        <v>622778.71</v>
      </c>
      <c r="P80" s="2">
        <v>121.04</v>
      </c>
      <c r="Q80" s="2">
        <v>118.11</v>
      </c>
    </row>
    <row r="81" spans="1:17" x14ac:dyDescent="0.45">
      <c r="A81" s="1">
        <v>45139</v>
      </c>
      <c r="B81">
        <v>2023</v>
      </c>
      <c r="C81">
        <v>11</v>
      </c>
      <c r="D81" t="s">
        <v>19</v>
      </c>
      <c r="E81" s="2">
        <v>5142000</v>
      </c>
      <c r="F81" s="2">
        <v>456372.64</v>
      </c>
      <c r="G81" s="2">
        <v>385427.74</v>
      </c>
      <c r="H81" s="2">
        <v>61004.03</v>
      </c>
      <c r="I81" s="2">
        <v>9135.57</v>
      </c>
      <c r="J81">
        <v>38</v>
      </c>
      <c r="K81">
        <v>3</v>
      </c>
      <c r="L81">
        <v>29</v>
      </c>
      <c r="M81">
        <v>2</v>
      </c>
      <c r="N81">
        <v>9</v>
      </c>
      <c r="O81" s="2">
        <v>21520.63</v>
      </c>
      <c r="P81" s="2">
        <v>101.9</v>
      </c>
      <c r="Q81" s="2">
        <v>109.11</v>
      </c>
    </row>
    <row r="82" spans="1:17" x14ac:dyDescent="0.45">
      <c r="A82" s="1">
        <v>44562</v>
      </c>
      <c r="B82">
        <v>2022</v>
      </c>
      <c r="C82">
        <v>4</v>
      </c>
      <c r="D82" t="s">
        <v>19</v>
      </c>
      <c r="E82" s="2">
        <v>4968000</v>
      </c>
      <c r="F82" s="2">
        <v>413891.48</v>
      </c>
      <c r="G82" s="2">
        <v>354012.15</v>
      </c>
      <c r="H82" s="2">
        <v>54097.69</v>
      </c>
      <c r="I82" s="2">
        <v>4084.36</v>
      </c>
      <c r="J82">
        <v>36</v>
      </c>
      <c r="K82">
        <v>5</v>
      </c>
      <c r="L82">
        <v>10</v>
      </c>
      <c r="M82">
        <v>2</v>
      </c>
      <c r="N82">
        <v>12</v>
      </c>
      <c r="O82" s="2">
        <v>23383.23</v>
      </c>
      <c r="P82" s="2">
        <v>111</v>
      </c>
      <c r="Q82" s="2">
        <v>103.53</v>
      </c>
    </row>
    <row r="83" spans="1:17" x14ac:dyDescent="0.45">
      <c r="A83" s="1">
        <v>45536</v>
      </c>
      <c r="B83">
        <v>2024</v>
      </c>
      <c r="C83">
        <v>12</v>
      </c>
      <c r="D83" t="s">
        <v>19</v>
      </c>
      <c r="E83" s="2">
        <v>5322000</v>
      </c>
      <c r="F83" s="2">
        <v>469860.25</v>
      </c>
      <c r="G83" s="2">
        <v>391786.52</v>
      </c>
      <c r="H83" s="2">
        <v>69665.119999999995</v>
      </c>
      <c r="I83" s="2">
        <v>9249.59</v>
      </c>
      <c r="J83">
        <v>38</v>
      </c>
      <c r="K83">
        <v>0</v>
      </c>
      <c r="L83">
        <v>54</v>
      </c>
      <c r="M83">
        <v>1</v>
      </c>
      <c r="N83">
        <v>16</v>
      </c>
      <c r="O83" s="2">
        <v>20262.13</v>
      </c>
      <c r="P83" s="2">
        <v>102.79</v>
      </c>
      <c r="Q83" s="2">
        <v>113.21</v>
      </c>
    </row>
    <row r="84" spans="1:17" x14ac:dyDescent="0.45">
      <c r="A84" s="1">
        <v>44593</v>
      </c>
      <c r="B84">
        <v>2022</v>
      </c>
      <c r="C84">
        <v>5</v>
      </c>
      <c r="D84" t="s">
        <v>23</v>
      </c>
      <c r="E84" s="2">
        <v>19665000</v>
      </c>
      <c r="F84" s="2">
        <v>1362047.73</v>
      </c>
      <c r="G84" s="2">
        <v>704316.7</v>
      </c>
      <c r="H84" s="2">
        <v>749884.8</v>
      </c>
      <c r="I84" s="2">
        <v>34595.93</v>
      </c>
      <c r="J84">
        <v>93</v>
      </c>
      <c r="K84">
        <v>6</v>
      </c>
      <c r="L84">
        <v>364</v>
      </c>
      <c r="M84">
        <v>5</v>
      </c>
      <c r="N84">
        <v>21</v>
      </c>
      <c r="O84" s="2">
        <v>270593.21999999997</v>
      </c>
      <c r="P84" s="2">
        <v>109.03</v>
      </c>
      <c r="Q84" s="2">
        <v>104.15</v>
      </c>
    </row>
    <row r="85" spans="1:17" x14ac:dyDescent="0.45">
      <c r="A85" s="1">
        <v>45748</v>
      </c>
      <c r="B85">
        <v>2025</v>
      </c>
      <c r="C85">
        <v>7</v>
      </c>
      <c r="D85" t="s">
        <v>27</v>
      </c>
      <c r="E85" s="2">
        <v>28688000</v>
      </c>
      <c r="F85" s="2">
        <v>2438578.06</v>
      </c>
      <c r="G85" s="2">
        <v>1939869.22</v>
      </c>
      <c r="H85" s="2">
        <v>601788.11</v>
      </c>
      <c r="I85" s="2">
        <v>32663.35</v>
      </c>
      <c r="J85">
        <v>208</v>
      </c>
      <c r="K85">
        <v>15</v>
      </c>
      <c r="L85">
        <v>953</v>
      </c>
      <c r="M85">
        <v>6</v>
      </c>
      <c r="N85">
        <v>34</v>
      </c>
      <c r="O85" s="2">
        <v>510976.63</v>
      </c>
      <c r="P85" s="2">
        <v>109.99</v>
      </c>
      <c r="Q85" s="2">
        <v>115.05</v>
      </c>
    </row>
    <row r="86" spans="1:17" x14ac:dyDescent="0.45">
      <c r="A86" s="1">
        <v>44682</v>
      </c>
      <c r="B86">
        <v>2022</v>
      </c>
      <c r="C86">
        <v>8</v>
      </c>
      <c r="D86" t="s">
        <v>18</v>
      </c>
      <c r="E86" s="2">
        <v>3622000</v>
      </c>
      <c r="F86" s="2">
        <v>324428.65000000002</v>
      </c>
      <c r="G86" s="2">
        <v>275834.83</v>
      </c>
      <c r="H86" s="2">
        <v>41365.33</v>
      </c>
      <c r="I86" s="2">
        <v>6257.66</v>
      </c>
      <c r="J86">
        <v>28</v>
      </c>
      <c r="K86">
        <v>3</v>
      </c>
      <c r="L86">
        <v>41</v>
      </c>
      <c r="M86">
        <v>0</v>
      </c>
      <c r="N86">
        <v>9</v>
      </c>
      <c r="O86" s="2">
        <v>5634.73</v>
      </c>
      <c r="P86" s="2">
        <v>111.06</v>
      </c>
      <c r="Q86" s="2">
        <v>105.03</v>
      </c>
    </row>
    <row r="87" spans="1:17" x14ac:dyDescent="0.45">
      <c r="A87" s="1">
        <v>44835</v>
      </c>
      <c r="B87">
        <v>2023</v>
      </c>
      <c r="C87">
        <v>1</v>
      </c>
      <c r="D87" t="s">
        <v>19</v>
      </c>
      <c r="E87" s="2">
        <v>5142000</v>
      </c>
      <c r="F87" s="2">
        <v>447017.53</v>
      </c>
      <c r="G87" s="2">
        <v>359344.63</v>
      </c>
      <c r="H87" s="2">
        <v>68183.69</v>
      </c>
      <c r="I87" s="2">
        <v>32263.81</v>
      </c>
      <c r="J87">
        <v>35</v>
      </c>
      <c r="K87">
        <v>2</v>
      </c>
      <c r="L87">
        <v>87</v>
      </c>
      <c r="M87">
        <v>3</v>
      </c>
      <c r="N87">
        <v>17</v>
      </c>
      <c r="O87" s="2">
        <v>49402.71</v>
      </c>
      <c r="P87" s="2">
        <v>111.27</v>
      </c>
      <c r="Q87" s="2">
        <v>105.84</v>
      </c>
    </row>
    <row r="88" spans="1:17" x14ac:dyDescent="0.45">
      <c r="A88" s="1">
        <v>45689</v>
      </c>
      <c r="B88">
        <v>2025</v>
      </c>
      <c r="C88">
        <v>5</v>
      </c>
      <c r="D88" t="s">
        <v>17</v>
      </c>
      <c r="E88" s="2">
        <v>8377000</v>
      </c>
      <c r="F88" s="2">
        <v>616042.56999999995</v>
      </c>
      <c r="G88" s="2">
        <v>362930.33</v>
      </c>
      <c r="H88" s="2">
        <v>231161.98</v>
      </c>
      <c r="I88" s="2">
        <v>31920.02</v>
      </c>
      <c r="J88">
        <v>44</v>
      </c>
      <c r="L88">
        <v>79</v>
      </c>
      <c r="M88">
        <v>0</v>
      </c>
      <c r="N88">
        <v>13</v>
      </c>
      <c r="O88" s="2">
        <v>14129.91</v>
      </c>
      <c r="P88" s="2">
        <v>112.17</v>
      </c>
      <c r="Q88" s="2">
        <v>115.45</v>
      </c>
    </row>
    <row r="89" spans="1:17" x14ac:dyDescent="0.45">
      <c r="A89" s="1">
        <v>45323</v>
      </c>
      <c r="B89">
        <v>2024</v>
      </c>
      <c r="C89">
        <v>5</v>
      </c>
      <c r="D89" t="s">
        <v>22</v>
      </c>
      <c r="E89" s="2">
        <v>6874000</v>
      </c>
      <c r="F89" s="2">
        <v>589006.09</v>
      </c>
      <c r="G89" s="2">
        <v>269731.53999999998</v>
      </c>
      <c r="H89" s="2">
        <v>210138.48</v>
      </c>
      <c r="I89" s="2">
        <v>133572.23000000001</v>
      </c>
      <c r="J89">
        <v>30</v>
      </c>
      <c r="K89">
        <v>4</v>
      </c>
      <c r="L89">
        <v>39</v>
      </c>
      <c r="M89">
        <v>2</v>
      </c>
      <c r="N89">
        <v>15</v>
      </c>
      <c r="O89" s="2">
        <v>47114.61</v>
      </c>
      <c r="P89" s="2">
        <v>102.11</v>
      </c>
      <c r="Q89" s="2">
        <v>111.46</v>
      </c>
    </row>
    <row r="90" spans="1:17" x14ac:dyDescent="0.45">
      <c r="A90" s="1">
        <v>45413</v>
      </c>
      <c r="B90">
        <v>2024</v>
      </c>
      <c r="C90">
        <v>8</v>
      </c>
      <c r="D90" t="s">
        <v>25</v>
      </c>
      <c r="E90" s="2">
        <v>4657000</v>
      </c>
      <c r="F90" s="2">
        <v>400507.94</v>
      </c>
      <c r="G90" s="2">
        <v>327497.01</v>
      </c>
      <c r="H90" s="2">
        <v>69166.12</v>
      </c>
      <c r="I90" s="2">
        <v>4612.6099999999997</v>
      </c>
      <c r="J90">
        <v>34</v>
      </c>
      <c r="K90">
        <v>3</v>
      </c>
      <c r="L90">
        <v>5</v>
      </c>
      <c r="M90">
        <v>2</v>
      </c>
      <c r="N90">
        <v>7</v>
      </c>
      <c r="O90" s="2">
        <v>18221.759999999998</v>
      </c>
      <c r="P90" s="2">
        <v>100.79</v>
      </c>
      <c r="Q90" s="2">
        <v>112.42</v>
      </c>
    </row>
    <row r="91" spans="1:17" x14ac:dyDescent="0.45">
      <c r="A91" s="1">
        <v>45139</v>
      </c>
      <c r="B91">
        <v>2023</v>
      </c>
      <c r="C91">
        <v>11</v>
      </c>
      <c r="D91" t="s">
        <v>24</v>
      </c>
      <c r="E91" s="2">
        <v>14462000</v>
      </c>
      <c r="F91" s="2">
        <v>1117900.5</v>
      </c>
      <c r="G91" s="2">
        <v>569424.80000000005</v>
      </c>
      <c r="H91" s="2">
        <v>430471.13</v>
      </c>
      <c r="I91" s="2">
        <v>76374.8</v>
      </c>
      <c r="J91">
        <v>79</v>
      </c>
      <c r="K91">
        <v>7</v>
      </c>
      <c r="L91">
        <v>116</v>
      </c>
      <c r="M91">
        <v>3</v>
      </c>
      <c r="N91">
        <v>19</v>
      </c>
      <c r="O91" s="2">
        <v>84910.080000000002</v>
      </c>
      <c r="P91" s="2">
        <v>97.07</v>
      </c>
      <c r="Q91" s="2">
        <v>109.76</v>
      </c>
    </row>
    <row r="92" spans="1:17" x14ac:dyDescent="0.45">
      <c r="A92" s="1">
        <v>45839</v>
      </c>
      <c r="B92">
        <v>2025</v>
      </c>
      <c r="C92">
        <v>10</v>
      </c>
      <c r="D92" t="s">
        <v>22</v>
      </c>
      <c r="E92" s="2">
        <v>7115000</v>
      </c>
      <c r="F92" s="2">
        <v>532852.47</v>
      </c>
      <c r="G92" s="2">
        <v>297125.38</v>
      </c>
      <c r="H92" s="2">
        <v>219534.67</v>
      </c>
      <c r="I92" s="2">
        <v>20865.009999999998</v>
      </c>
      <c r="J92">
        <v>31</v>
      </c>
      <c r="K92">
        <v>1</v>
      </c>
      <c r="L92">
        <v>45</v>
      </c>
      <c r="M92">
        <v>2</v>
      </c>
      <c r="N92">
        <v>19</v>
      </c>
      <c r="O92" s="2">
        <v>38385.82</v>
      </c>
      <c r="P92" s="2">
        <v>115.87</v>
      </c>
      <c r="Q92" s="2">
        <v>118.44</v>
      </c>
    </row>
    <row r="93" spans="1:17" x14ac:dyDescent="0.45">
      <c r="A93" s="1">
        <v>44287</v>
      </c>
      <c r="B93">
        <v>2021</v>
      </c>
      <c r="C93">
        <v>7</v>
      </c>
      <c r="D93" t="s">
        <v>21</v>
      </c>
      <c r="E93" s="2">
        <v>8000000</v>
      </c>
      <c r="F93" s="2">
        <v>604580.13</v>
      </c>
      <c r="G93" s="2">
        <v>426913.76</v>
      </c>
      <c r="H93" s="2">
        <v>174715.43</v>
      </c>
      <c r="I93" s="2">
        <v>19190.36</v>
      </c>
      <c r="J93">
        <v>63</v>
      </c>
      <c r="K93">
        <v>5</v>
      </c>
      <c r="L93">
        <v>132</v>
      </c>
      <c r="M93">
        <v>2</v>
      </c>
      <c r="N93">
        <v>16</v>
      </c>
      <c r="O93" s="2">
        <v>48815.06</v>
      </c>
      <c r="P93" s="2">
        <v>103.28</v>
      </c>
      <c r="Q93" s="2">
        <v>101.14</v>
      </c>
    </row>
    <row r="94" spans="1:17" x14ac:dyDescent="0.45">
      <c r="A94" s="1">
        <v>44501</v>
      </c>
      <c r="B94">
        <v>2022</v>
      </c>
      <c r="C94">
        <v>2</v>
      </c>
      <c r="D94" t="s">
        <v>24</v>
      </c>
      <c r="E94" s="2">
        <v>13972000</v>
      </c>
      <c r="F94" s="2">
        <v>1228083.67</v>
      </c>
      <c r="G94" s="2">
        <v>533828.16</v>
      </c>
      <c r="H94" s="2">
        <v>602793.23</v>
      </c>
      <c r="I94" s="2">
        <v>79825.899999999994</v>
      </c>
      <c r="J94">
        <v>77</v>
      </c>
      <c r="K94">
        <v>4</v>
      </c>
      <c r="L94">
        <v>158</v>
      </c>
      <c r="M94">
        <v>6</v>
      </c>
      <c r="N94">
        <v>25</v>
      </c>
      <c r="O94" s="2">
        <v>170000.18</v>
      </c>
      <c r="P94" s="2">
        <v>108.49</v>
      </c>
      <c r="Q94" s="2">
        <v>103.31</v>
      </c>
    </row>
    <row r="95" spans="1:17" x14ac:dyDescent="0.45">
      <c r="A95" s="1">
        <v>45748</v>
      </c>
      <c r="B95">
        <v>2025</v>
      </c>
      <c r="C95">
        <v>7</v>
      </c>
      <c r="D95" t="s">
        <v>21</v>
      </c>
      <c r="E95" s="2">
        <v>9180000</v>
      </c>
      <c r="F95" s="2">
        <v>739322.34</v>
      </c>
      <c r="G95" s="2">
        <v>509713.65</v>
      </c>
      <c r="H95" s="2">
        <v>235116.87</v>
      </c>
      <c r="I95" s="2">
        <v>11591.39</v>
      </c>
      <c r="J95">
        <v>67</v>
      </c>
      <c r="K95">
        <v>8</v>
      </c>
      <c r="L95">
        <v>44</v>
      </c>
      <c r="M95">
        <v>5</v>
      </c>
      <c r="N95">
        <v>19</v>
      </c>
      <c r="O95" s="2">
        <v>132533.22</v>
      </c>
      <c r="P95" s="2">
        <v>115.83</v>
      </c>
      <c r="Q95" s="2">
        <v>115.67</v>
      </c>
    </row>
    <row r="96" spans="1:17" x14ac:dyDescent="0.45">
      <c r="A96" s="1">
        <v>44958</v>
      </c>
      <c r="B96">
        <v>2023</v>
      </c>
      <c r="C96">
        <v>5</v>
      </c>
      <c r="D96" t="s">
        <v>25</v>
      </c>
      <c r="E96" s="2">
        <v>4499000</v>
      </c>
      <c r="F96" s="2">
        <v>380360.16</v>
      </c>
      <c r="G96" s="2">
        <v>307264.3</v>
      </c>
      <c r="H96" s="2">
        <v>65069.43</v>
      </c>
      <c r="I96" s="2">
        <v>9768.09</v>
      </c>
      <c r="J96">
        <v>32</v>
      </c>
      <c r="K96">
        <v>1</v>
      </c>
      <c r="L96">
        <v>53</v>
      </c>
      <c r="M96">
        <v>1</v>
      </c>
      <c r="N96">
        <v>7</v>
      </c>
      <c r="O96" s="2">
        <v>11338.87</v>
      </c>
      <c r="P96" s="2">
        <v>106.39</v>
      </c>
      <c r="Q96" s="2">
        <v>108.35</v>
      </c>
    </row>
    <row r="97" spans="1:17" x14ac:dyDescent="0.45">
      <c r="A97" s="1">
        <v>45413</v>
      </c>
      <c r="B97">
        <v>2024</v>
      </c>
      <c r="C97">
        <v>8</v>
      </c>
      <c r="D97" t="s">
        <v>17</v>
      </c>
      <c r="E97" s="2">
        <v>8094000</v>
      </c>
      <c r="F97" s="2">
        <v>680970.66</v>
      </c>
      <c r="G97" s="2">
        <v>383197.6</v>
      </c>
      <c r="H97" s="2">
        <v>302605.31</v>
      </c>
      <c r="I97" s="2">
        <v>12170.57</v>
      </c>
      <c r="J97">
        <v>45</v>
      </c>
      <c r="K97">
        <v>2</v>
      </c>
      <c r="L97">
        <v>101</v>
      </c>
      <c r="M97">
        <v>3</v>
      </c>
      <c r="N97">
        <v>12</v>
      </c>
      <c r="O97" s="2">
        <v>68996.740000000005</v>
      </c>
      <c r="P97" s="2">
        <v>102.49</v>
      </c>
      <c r="Q97" s="2">
        <v>112.27</v>
      </c>
    </row>
    <row r="98" spans="1:17" x14ac:dyDescent="0.45">
      <c r="A98" s="1">
        <v>45078</v>
      </c>
      <c r="B98">
        <v>2023</v>
      </c>
      <c r="C98">
        <v>9</v>
      </c>
      <c r="D98" t="s">
        <v>25</v>
      </c>
      <c r="E98" s="2">
        <v>4499000</v>
      </c>
      <c r="F98" s="2">
        <v>381899.89</v>
      </c>
      <c r="G98" s="2">
        <v>311671.44</v>
      </c>
      <c r="H98" s="2">
        <v>59432.25</v>
      </c>
      <c r="I98" s="2">
        <v>11136.41</v>
      </c>
      <c r="J98">
        <v>33</v>
      </c>
      <c r="K98">
        <v>5</v>
      </c>
      <c r="L98">
        <v>46</v>
      </c>
      <c r="M98">
        <v>0</v>
      </c>
      <c r="N98">
        <v>7</v>
      </c>
      <c r="O98" s="2">
        <v>5459.57</v>
      </c>
      <c r="P98" s="2">
        <v>99.23</v>
      </c>
      <c r="Q98" s="2">
        <v>108.74</v>
      </c>
    </row>
    <row r="99" spans="1:17" x14ac:dyDescent="0.45">
      <c r="A99" s="1">
        <v>44774</v>
      </c>
      <c r="B99">
        <v>2022</v>
      </c>
      <c r="C99">
        <v>11</v>
      </c>
      <c r="D99" t="s">
        <v>27</v>
      </c>
      <c r="E99" s="2">
        <v>25875000</v>
      </c>
      <c r="F99" s="2">
        <v>2271392.96</v>
      </c>
      <c r="G99" s="2">
        <v>1739057.06</v>
      </c>
      <c r="H99" s="2">
        <v>430483.52</v>
      </c>
      <c r="I99" s="2">
        <v>83622.31</v>
      </c>
      <c r="J99">
        <v>210</v>
      </c>
      <c r="K99">
        <v>19</v>
      </c>
      <c r="L99">
        <v>789</v>
      </c>
      <c r="M99">
        <v>10</v>
      </c>
      <c r="N99">
        <v>36</v>
      </c>
      <c r="O99" s="2">
        <v>795474.04</v>
      </c>
      <c r="P99" s="2">
        <v>109.24</v>
      </c>
      <c r="Q99" s="2">
        <v>105.62</v>
      </c>
    </row>
    <row r="100" spans="1:17" x14ac:dyDescent="0.45">
      <c r="A100" s="1">
        <v>45383</v>
      </c>
      <c r="B100">
        <v>2024</v>
      </c>
      <c r="C100">
        <v>7</v>
      </c>
      <c r="D100" t="s">
        <v>24</v>
      </c>
      <c r="E100" s="2">
        <v>14968000</v>
      </c>
      <c r="F100" s="2">
        <v>1193847.29</v>
      </c>
      <c r="G100" s="2">
        <v>600494.96</v>
      </c>
      <c r="H100" s="2">
        <v>544289.57999999996</v>
      </c>
      <c r="I100" s="2">
        <v>67926.720000000001</v>
      </c>
      <c r="J100">
        <v>79</v>
      </c>
      <c r="K100">
        <v>8</v>
      </c>
      <c r="L100">
        <v>190</v>
      </c>
      <c r="M100">
        <v>5</v>
      </c>
      <c r="N100">
        <v>30</v>
      </c>
      <c r="O100" s="2">
        <v>171934.5</v>
      </c>
      <c r="P100" s="2">
        <v>101.78</v>
      </c>
      <c r="Q100" s="2">
        <v>112.63</v>
      </c>
    </row>
    <row r="101" spans="1:17" x14ac:dyDescent="0.45">
      <c r="A101" s="1">
        <v>45689</v>
      </c>
      <c r="B101">
        <v>2025</v>
      </c>
      <c r="C101">
        <v>5</v>
      </c>
      <c r="D101" t="s">
        <v>21</v>
      </c>
      <c r="E101" s="2">
        <v>9180000</v>
      </c>
      <c r="F101" s="2">
        <v>674016.34</v>
      </c>
      <c r="G101" s="2">
        <v>473369.69</v>
      </c>
      <c r="H101" s="2">
        <v>202441.06</v>
      </c>
      <c r="I101" s="2">
        <v>15184.3</v>
      </c>
      <c r="J101">
        <v>65</v>
      </c>
      <c r="K101">
        <v>2</v>
      </c>
      <c r="L101">
        <v>75</v>
      </c>
      <c r="M101">
        <v>1</v>
      </c>
      <c r="N101">
        <v>14</v>
      </c>
      <c r="O101" s="2">
        <v>35896.36</v>
      </c>
      <c r="P101" s="2">
        <v>110.12</v>
      </c>
      <c r="Q101" s="2">
        <v>115.59</v>
      </c>
    </row>
    <row r="102" spans="1:17" x14ac:dyDescent="0.45">
      <c r="A102" s="1">
        <v>45839</v>
      </c>
      <c r="B102">
        <v>2025</v>
      </c>
      <c r="C102">
        <v>10</v>
      </c>
      <c r="D102" t="s">
        <v>17</v>
      </c>
      <c r="E102" s="2">
        <v>8377000</v>
      </c>
      <c r="F102" s="2">
        <v>714522.27</v>
      </c>
      <c r="G102" s="2">
        <v>391701.08</v>
      </c>
      <c r="H102" s="2">
        <v>256959.89</v>
      </c>
      <c r="I102" s="2">
        <v>41311.99</v>
      </c>
      <c r="J102">
        <v>44</v>
      </c>
      <c r="K102">
        <v>6</v>
      </c>
      <c r="L102">
        <v>98</v>
      </c>
      <c r="M102">
        <v>4</v>
      </c>
      <c r="N102">
        <v>16</v>
      </c>
      <c r="O102" s="2">
        <v>84826.63</v>
      </c>
      <c r="P102" s="2">
        <v>116.27</v>
      </c>
      <c r="Q102" s="2">
        <v>117.31</v>
      </c>
    </row>
    <row r="103" spans="1:17" x14ac:dyDescent="0.45">
      <c r="A103" s="1">
        <v>45992</v>
      </c>
      <c r="B103">
        <v>2026</v>
      </c>
      <c r="C103">
        <v>3</v>
      </c>
      <c r="D103" t="s">
        <v>18</v>
      </c>
      <c r="E103" s="2">
        <v>4157000</v>
      </c>
      <c r="F103" s="2">
        <v>378437.44</v>
      </c>
      <c r="G103" s="2">
        <v>316632.7</v>
      </c>
      <c r="H103" s="2">
        <v>56631</v>
      </c>
      <c r="I103" s="2">
        <v>6097.09</v>
      </c>
      <c r="J103">
        <v>29</v>
      </c>
      <c r="K103">
        <v>4</v>
      </c>
      <c r="L103">
        <v>40</v>
      </c>
      <c r="M103">
        <v>2</v>
      </c>
      <c r="N103">
        <v>15</v>
      </c>
      <c r="O103" s="2">
        <v>20354.080000000002</v>
      </c>
      <c r="P103" s="2">
        <v>118.41</v>
      </c>
      <c r="Q103" s="2">
        <v>118.53</v>
      </c>
    </row>
    <row r="104" spans="1:17" x14ac:dyDescent="0.45">
      <c r="A104" s="1">
        <v>45383</v>
      </c>
      <c r="B104">
        <v>2024</v>
      </c>
      <c r="C104">
        <v>7</v>
      </c>
      <c r="D104" t="s">
        <v>28</v>
      </c>
      <c r="E104" s="2">
        <v>24392000</v>
      </c>
      <c r="F104" s="2">
        <v>2178709.23</v>
      </c>
      <c r="G104" s="2">
        <v>1683371.93</v>
      </c>
      <c r="H104" s="2">
        <v>391953.06</v>
      </c>
      <c r="I104" s="2">
        <v>28077.119999999999</v>
      </c>
      <c r="J104">
        <v>174</v>
      </c>
      <c r="K104">
        <v>12</v>
      </c>
      <c r="L104">
        <v>750</v>
      </c>
      <c r="M104">
        <v>10</v>
      </c>
      <c r="N104">
        <v>32</v>
      </c>
      <c r="O104" s="2">
        <v>613015.22</v>
      </c>
      <c r="P104" s="2">
        <v>101.96</v>
      </c>
      <c r="Q104" s="2">
        <v>111.22</v>
      </c>
    </row>
    <row r="105" spans="1:17" x14ac:dyDescent="0.45">
      <c r="A105" s="1">
        <v>44409</v>
      </c>
      <c r="B105">
        <v>2021</v>
      </c>
      <c r="C105">
        <v>11</v>
      </c>
      <c r="D105" t="s">
        <v>17</v>
      </c>
      <c r="E105" s="2">
        <v>7300000</v>
      </c>
      <c r="F105" s="2">
        <v>557727.26</v>
      </c>
      <c r="G105" s="2">
        <v>320224.8</v>
      </c>
      <c r="H105" s="2">
        <v>249660.14</v>
      </c>
      <c r="I105" s="2">
        <v>29605.84</v>
      </c>
      <c r="J105">
        <v>43</v>
      </c>
      <c r="K105">
        <v>6</v>
      </c>
      <c r="L105">
        <v>31</v>
      </c>
      <c r="M105">
        <v>3</v>
      </c>
      <c r="N105">
        <v>17</v>
      </c>
      <c r="O105" s="2">
        <v>60161.53</v>
      </c>
      <c r="P105" s="2">
        <v>108.85</v>
      </c>
      <c r="Q105" s="2">
        <v>102.39</v>
      </c>
    </row>
    <row r="106" spans="1:17" x14ac:dyDescent="0.45">
      <c r="A106" s="1">
        <v>44562</v>
      </c>
      <c r="B106">
        <v>2022</v>
      </c>
      <c r="C106">
        <v>4</v>
      </c>
      <c r="D106" t="s">
        <v>24</v>
      </c>
      <c r="E106" s="2">
        <v>13972000</v>
      </c>
      <c r="F106" s="2">
        <v>1298905.8</v>
      </c>
      <c r="G106" s="2">
        <v>567753.78</v>
      </c>
      <c r="H106" s="2">
        <v>518872.44</v>
      </c>
      <c r="I106" s="2">
        <v>220884.73</v>
      </c>
      <c r="J106">
        <v>81</v>
      </c>
      <c r="K106">
        <v>10</v>
      </c>
      <c r="L106">
        <v>73</v>
      </c>
      <c r="M106">
        <v>4</v>
      </c>
      <c r="N106">
        <v>25</v>
      </c>
      <c r="O106" s="2">
        <v>117263.54</v>
      </c>
      <c r="P106" s="2">
        <v>108.96</v>
      </c>
      <c r="Q106" s="2">
        <v>104.17</v>
      </c>
    </row>
    <row r="107" spans="1:17" x14ac:dyDescent="0.45">
      <c r="A107" s="1">
        <v>44197</v>
      </c>
      <c r="B107">
        <v>2021</v>
      </c>
      <c r="C107">
        <v>4</v>
      </c>
      <c r="D107" t="s">
        <v>18</v>
      </c>
      <c r="E107" s="2">
        <v>3500000</v>
      </c>
      <c r="F107" s="2">
        <v>287214.95</v>
      </c>
      <c r="G107" s="2">
        <v>248582.12</v>
      </c>
      <c r="H107" s="2">
        <v>35227.26</v>
      </c>
      <c r="I107" s="2">
        <v>3823.2</v>
      </c>
      <c r="J107">
        <v>27</v>
      </c>
      <c r="K107">
        <v>2</v>
      </c>
      <c r="L107">
        <v>35</v>
      </c>
      <c r="M107">
        <v>2</v>
      </c>
      <c r="N107">
        <v>15</v>
      </c>
      <c r="O107" s="2">
        <v>26441.96</v>
      </c>
      <c r="P107" s="2">
        <v>99.32</v>
      </c>
      <c r="Q107" s="2">
        <v>100.29</v>
      </c>
    </row>
    <row r="108" spans="1:17" x14ac:dyDescent="0.45">
      <c r="A108" s="1">
        <v>45597</v>
      </c>
      <c r="B108">
        <v>2025</v>
      </c>
      <c r="C108">
        <v>2</v>
      </c>
      <c r="D108" t="s">
        <v>21</v>
      </c>
      <c r="E108" s="2">
        <v>9180000</v>
      </c>
      <c r="F108" s="2">
        <v>789450.65</v>
      </c>
      <c r="G108" s="2">
        <v>507557.34</v>
      </c>
      <c r="H108" s="2">
        <v>276834.21000000002</v>
      </c>
      <c r="I108" s="2">
        <v>38050.800000000003</v>
      </c>
      <c r="J108">
        <v>65</v>
      </c>
      <c r="K108">
        <v>3</v>
      </c>
      <c r="L108">
        <v>81</v>
      </c>
      <c r="M108">
        <v>4</v>
      </c>
      <c r="N108">
        <v>15</v>
      </c>
      <c r="O108" s="2">
        <v>92032.03</v>
      </c>
      <c r="P108" s="2">
        <v>107.73</v>
      </c>
      <c r="Q108" s="2">
        <v>114.35</v>
      </c>
    </row>
    <row r="109" spans="1:17" x14ac:dyDescent="0.45">
      <c r="A109" s="1">
        <v>45383</v>
      </c>
      <c r="B109">
        <v>2024</v>
      </c>
      <c r="C109">
        <v>7</v>
      </c>
      <c r="D109" t="s">
        <v>22</v>
      </c>
      <c r="E109" s="2">
        <v>6874000</v>
      </c>
      <c r="F109" s="2">
        <v>692071.09</v>
      </c>
      <c r="G109" s="2">
        <v>289341.68</v>
      </c>
      <c r="H109" s="2">
        <v>244974.69</v>
      </c>
      <c r="I109" s="2">
        <v>160553.43</v>
      </c>
      <c r="J109">
        <v>31</v>
      </c>
      <c r="K109">
        <v>2</v>
      </c>
      <c r="L109">
        <v>81</v>
      </c>
      <c r="M109">
        <v>3</v>
      </c>
      <c r="N109">
        <v>13</v>
      </c>
      <c r="O109" s="2">
        <v>46251.81</v>
      </c>
      <c r="P109" s="2">
        <v>100.85</v>
      </c>
      <c r="Q109" s="2">
        <v>111.86</v>
      </c>
    </row>
    <row r="110" spans="1:17" x14ac:dyDescent="0.45">
      <c r="A110" s="1">
        <v>45505</v>
      </c>
      <c r="B110">
        <v>2024</v>
      </c>
      <c r="C110">
        <v>11</v>
      </c>
      <c r="D110" t="s">
        <v>18</v>
      </c>
      <c r="E110" s="2">
        <v>3881000</v>
      </c>
      <c r="F110" s="2">
        <v>349444.47</v>
      </c>
      <c r="G110" s="2">
        <v>299013.23</v>
      </c>
      <c r="H110" s="2">
        <v>44665.24</v>
      </c>
      <c r="I110" s="2">
        <v>4281.7700000000004</v>
      </c>
      <c r="J110">
        <v>29</v>
      </c>
      <c r="K110">
        <v>0</v>
      </c>
      <c r="L110">
        <v>0</v>
      </c>
      <c r="M110">
        <v>0</v>
      </c>
      <c r="N110">
        <v>7</v>
      </c>
      <c r="O110" s="2">
        <v>4847.9799999999996</v>
      </c>
      <c r="P110" s="2">
        <v>104.67</v>
      </c>
      <c r="Q110" s="2">
        <v>113.87</v>
      </c>
    </row>
    <row r="111" spans="1:17" x14ac:dyDescent="0.45">
      <c r="A111" s="1">
        <v>44197</v>
      </c>
      <c r="B111">
        <v>2021</v>
      </c>
      <c r="C111">
        <v>4</v>
      </c>
      <c r="D111" t="s">
        <v>17</v>
      </c>
      <c r="E111" s="2">
        <v>7300000</v>
      </c>
      <c r="F111" s="2">
        <v>581909.26</v>
      </c>
      <c r="G111" s="2">
        <v>317339.01</v>
      </c>
      <c r="H111" s="2">
        <v>226796.91</v>
      </c>
      <c r="I111" s="2">
        <v>18783.810000000001</v>
      </c>
      <c r="J111">
        <v>44</v>
      </c>
      <c r="K111">
        <v>4</v>
      </c>
      <c r="L111">
        <v>63</v>
      </c>
      <c r="M111">
        <v>2</v>
      </c>
      <c r="N111">
        <v>15</v>
      </c>
      <c r="O111" s="2">
        <v>50278.87</v>
      </c>
      <c r="P111" s="2">
        <v>100.24</v>
      </c>
      <c r="Q111" s="2">
        <v>100.22</v>
      </c>
    </row>
    <row r="112" spans="1:17" x14ac:dyDescent="0.45">
      <c r="A112" s="1">
        <v>45597</v>
      </c>
      <c r="B112">
        <v>2025</v>
      </c>
      <c r="C112">
        <v>2</v>
      </c>
      <c r="D112" t="s">
        <v>17</v>
      </c>
      <c r="E112" s="2">
        <v>8377000</v>
      </c>
      <c r="F112" s="2">
        <v>740188.03</v>
      </c>
      <c r="G112" s="2">
        <v>356231.81</v>
      </c>
      <c r="H112" s="2">
        <v>318148.21999999997</v>
      </c>
      <c r="I112" s="2">
        <v>48332.35</v>
      </c>
      <c r="J112">
        <v>44</v>
      </c>
      <c r="K112">
        <v>7</v>
      </c>
      <c r="L112">
        <v>71</v>
      </c>
      <c r="M112">
        <v>2</v>
      </c>
      <c r="N112">
        <v>19</v>
      </c>
      <c r="O112" s="2">
        <v>40453.65</v>
      </c>
      <c r="P112" s="2">
        <v>105.05</v>
      </c>
      <c r="Q112" s="2">
        <v>114.43</v>
      </c>
    </row>
    <row r="113" spans="1:17" x14ac:dyDescent="0.45">
      <c r="A113" s="1">
        <v>44713</v>
      </c>
      <c r="B113">
        <v>2022</v>
      </c>
      <c r="C113">
        <v>9</v>
      </c>
      <c r="D113" t="s">
        <v>28</v>
      </c>
      <c r="E113" s="2">
        <v>22770000</v>
      </c>
      <c r="F113" s="2">
        <v>2258921.2999999998</v>
      </c>
      <c r="G113" s="2">
        <v>1689640.19</v>
      </c>
      <c r="H113" s="2">
        <v>450490.27</v>
      </c>
      <c r="I113" s="2">
        <v>57159.7</v>
      </c>
      <c r="J113">
        <v>184</v>
      </c>
      <c r="K113">
        <v>12</v>
      </c>
      <c r="L113">
        <v>1027</v>
      </c>
      <c r="M113">
        <v>7</v>
      </c>
      <c r="N113">
        <v>26</v>
      </c>
      <c r="O113" s="2">
        <v>316157.09999999998</v>
      </c>
      <c r="P113" s="2">
        <v>112.5</v>
      </c>
      <c r="Q113" s="2">
        <v>104.81</v>
      </c>
    </row>
    <row r="114" spans="1:17" x14ac:dyDescent="0.45">
      <c r="A114" s="1">
        <v>45444</v>
      </c>
      <c r="B114">
        <v>2024</v>
      </c>
      <c r="C114">
        <v>9</v>
      </c>
      <c r="D114" t="s">
        <v>24</v>
      </c>
      <c r="E114" s="2">
        <v>14968000</v>
      </c>
      <c r="F114" s="2">
        <v>1173421.47</v>
      </c>
      <c r="G114" s="2">
        <v>565260.99</v>
      </c>
      <c r="H114" s="2">
        <v>572237.16</v>
      </c>
      <c r="I114" s="2">
        <v>89299.56</v>
      </c>
      <c r="J114">
        <v>76</v>
      </c>
      <c r="K114">
        <v>1</v>
      </c>
      <c r="L114">
        <v>34</v>
      </c>
      <c r="M114">
        <v>5</v>
      </c>
      <c r="N114">
        <v>25</v>
      </c>
      <c r="O114" s="2">
        <v>206314.85</v>
      </c>
      <c r="P114" s="2">
        <v>103.2</v>
      </c>
      <c r="Q114" s="2">
        <v>114.09</v>
      </c>
    </row>
    <row r="115" spans="1:17" x14ac:dyDescent="0.45">
      <c r="A115" s="1">
        <v>45078</v>
      </c>
      <c r="B115">
        <v>2023</v>
      </c>
      <c r="C115">
        <v>9</v>
      </c>
      <c r="D115" t="s">
        <v>19</v>
      </c>
      <c r="E115" s="2">
        <v>5142000</v>
      </c>
      <c r="F115" s="2">
        <v>424411.39</v>
      </c>
      <c r="G115" s="2">
        <v>352026.47</v>
      </c>
      <c r="H115" s="2">
        <v>66941.88</v>
      </c>
      <c r="I115" s="2">
        <v>10973.74</v>
      </c>
      <c r="J115">
        <v>35</v>
      </c>
      <c r="K115">
        <v>4</v>
      </c>
      <c r="L115">
        <v>45</v>
      </c>
      <c r="M115">
        <v>1</v>
      </c>
      <c r="N115">
        <v>12</v>
      </c>
      <c r="O115" s="2">
        <v>24260.74</v>
      </c>
      <c r="P115" s="2">
        <v>101.27</v>
      </c>
      <c r="Q115" s="2">
        <v>109.08</v>
      </c>
    </row>
    <row r="116" spans="1:17" x14ac:dyDescent="0.45">
      <c r="A116" s="1">
        <v>44256</v>
      </c>
      <c r="B116">
        <v>2021</v>
      </c>
      <c r="C116">
        <v>6</v>
      </c>
      <c r="D116" t="s">
        <v>23</v>
      </c>
      <c r="E116" s="2">
        <v>19000000</v>
      </c>
      <c r="F116" s="2">
        <v>1429995.7</v>
      </c>
      <c r="G116" s="2">
        <v>742473.75</v>
      </c>
      <c r="H116" s="2">
        <v>620387.96</v>
      </c>
      <c r="I116" s="2">
        <v>79391.56</v>
      </c>
      <c r="J116">
        <v>96</v>
      </c>
      <c r="K116">
        <v>8</v>
      </c>
      <c r="L116">
        <v>381</v>
      </c>
      <c r="M116">
        <v>7</v>
      </c>
      <c r="N116">
        <v>32</v>
      </c>
      <c r="O116" s="2">
        <v>328704.38</v>
      </c>
      <c r="P116" s="2">
        <v>101.91</v>
      </c>
      <c r="Q116" s="2">
        <v>100.65</v>
      </c>
    </row>
    <row r="117" spans="1:17" x14ac:dyDescent="0.45">
      <c r="A117" s="1">
        <v>44896</v>
      </c>
      <c r="B117">
        <v>2023</v>
      </c>
      <c r="C117">
        <v>3</v>
      </c>
      <c r="D117" t="s">
        <v>28</v>
      </c>
      <c r="E117" s="2">
        <v>23567000</v>
      </c>
      <c r="F117" s="2">
        <v>2088200.97</v>
      </c>
      <c r="G117" s="2">
        <v>1605372.83</v>
      </c>
      <c r="H117" s="2">
        <v>387861.95</v>
      </c>
      <c r="I117" s="2">
        <v>33540.86</v>
      </c>
      <c r="J117">
        <v>179</v>
      </c>
      <c r="K117">
        <v>13</v>
      </c>
      <c r="L117">
        <v>991</v>
      </c>
      <c r="M117">
        <v>10</v>
      </c>
      <c r="N117">
        <v>35</v>
      </c>
      <c r="O117" s="2">
        <v>705796.01</v>
      </c>
      <c r="P117" s="2">
        <v>108.22</v>
      </c>
      <c r="Q117" s="2">
        <v>107.09</v>
      </c>
    </row>
    <row r="118" spans="1:17" x14ac:dyDescent="0.45">
      <c r="A118" s="1">
        <v>45444</v>
      </c>
      <c r="B118">
        <v>2024</v>
      </c>
      <c r="C118">
        <v>9</v>
      </c>
      <c r="D118" t="s">
        <v>25</v>
      </c>
      <c r="E118" s="2">
        <v>4657000</v>
      </c>
      <c r="F118" s="2">
        <v>403897.55</v>
      </c>
      <c r="G118" s="2">
        <v>333373.32</v>
      </c>
      <c r="H118" s="2">
        <v>60506.48</v>
      </c>
      <c r="I118" s="2">
        <v>7860.53</v>
      </c>
      <c r="J118">
        <v>34</v>
      </c>
      <c r="K118">
        <v>0</v>
      </c>
      <c r="L118">
        <v>52</v>
      </c>
      <c r="M118">
        <v>0</v>
      </c>
      <c r="N118">
        <v>10</v>
      </c>
      <c r="O118" s="2">
        <v>6226.79</v>
      </c>
      <c r="P118" s="2">
        <v>105.32</v>
      </c>
      <c r="Q118" s="2">
        <v>113.23</v>
      </c>
    </row>
    <row r="119" spans="1:17" x14ac:dyDescent="0.45">
      <c r="A119" s="1">
        <v>44531</v>
      </c>
      <c r="B119">
        <v>2022</v>
      </c>
      <c r="C119">
        <v>3</v>
      </c>
      <c r="D119" t="s">
        <v>28</v>
      </c>
      <c r="E119" s="2">
        <v>22770000</v>
      </c>
      <c r="F119" s="2">
        <v>1977464.54</v>
      </c>
      <c r="G119" s="2">
        <v>1583271.25</v>
      </c>
      <c r="H119" s="2">
        <v>394510.47</v>
      </c>
      <c r="I119" s="2">
        <v>44524.95</v>
      </c>
      <c r="J119">
        <v>173</v>
      </c>
      <c r="K119">
        <v>10</v>
      </c>
      <c r="L119">
        <v>771</v>
      </c>
      <c r="M119">
        <v>10</v>
      </c>
      <c r="N119">
        <v>35</v>
      </c>
      <c r="O119" s="2">
        <v>631402.48</v>
      </c>
      <c r="P119" s="2">
        <v>114.46</v>
      </c>
      <c r="Q119" s="2">
        <v>102.79</v>
      </c>
    </row>
    <row r="120" spans="1:17" x14ac:dyDescent="0.45">
      <c r="A120" s="1">
        <v>44378</v>
      </c>
      <c r="B120">
        <v>2021</v>
      </c>
      <c r="C120">
        <v>10</v>
      </c>
      <c r="D120" t="s">
        <v>28</v>
      </c>
      <c r="E120" s="2">
        <v>22000000</v>
      </c>
      <c r="F120" s="2">
        <v>1885283.64</v>
      </c>
      <c r="G120" s="2">
        <v>1475419.83</v>
      </c>
      <c r="H120" s="2">
        <v>357687.68</v>
      </c>
      <c r="I120" s="2">
        <v>17229.11</v>
      </c>
      <c r="J120">
        <v>172</v>
      </c>
      <c r="K120">
        <v>11</v>
      </c>
      <c r="L120">
        <v>708</v>
      </c>
      <c r="M120">
        <v>8</v>
      </c>
      <c r="N120">
        <v>32</v>
      </c>
      <c r="O120" s="2">
        <v>515533.94</v>
      </c>
      <c r="P120" s="2">
        <v>109.76</v>
      </c>
      <c r="Q120" s="2">
        <v>100.95</v>
      </c>
    </row>
    <row r="121" spans="1:17" x14ac:dyDescent="0.45">
      <c r="A121" s="1">
        <v>44805</v>
      </c>
      <c r="B121">
        <v>2022</v>
      </c>
      <c r="C121">
        <v>12</v>
      </c>
      <c r="D121" t="s">
        <v>22</v>
      </c>
      <c r="E121" s="2">
        <v>6417000</v>
      </c>
      <c r="F121" s="2">
        <v>505655.93</v>
      </c>
      <c r="G121" s="2">
        <v>267958.17</v>
      </c>
      <c r="H121" s="2">
        <v>226564.53</v>
      </c>
      <c r="I121" s="2">
        <v>33044.28</v>
      </c>
      <c r="J121">
        <v>30</v>
      </c>
      <c r="K121">
        <v>1</v>
      </c>
      <c r="L121">
        <v>57</v>
      </c>
      <c r="M121">
        <v>1</v>
      </c>
      <c r="N121">
        <v>9</v>
      </c>
      <c r="O121" s="2">
        <v>26150.959999999999</v>
      </c>
      <c r="P121" s="2">
        <v>106.05</v>
      </c>
      <c r="Q121" s="2">
        <v>106.43</v>
      </c>
    </row>
    <row r="122" spans="1:17" x14ac:dyDescent="0.45">
      <c r="A122" s="1">
        <v>45658</v>
      </c>
      <c r="B122">
        <v>2025</v>
      </c>
      <c r="C122">
        <v>4</v>
      </c>
      <c r="D122" t="s">
        <v>18</v>
      </c>
      <c r="E122" s="2">
        <v>4016000</v>
      </c>
      <c r="F122" s="2">
        <v>355098.05</v>
      </c>
      <c r="G122" s="2">
        <v>314964.67</v>
      </c>
      <c r="H122" s="2">
        <v>39784.300000000003</v>
      </c>
      <c r="I122" s="2">
        <v>4711.4799999999996</v>
      </c>
      <c r="J122">
        <v>29</v>
      </c>
      <c r="K122">
        <v>2</v>
      </c>
      <c r="L122">
        <v>39</v>
      </c>
      <c r="M122">
        <v>4</v>
      </c>
      <c r="N122">
        <v>16</v>
      </c>
      <c r="O122" s="2">
        <v>28116.73</v>
      </c>
      <c r="P122" s="2">
        <v>109.23</v>
      </c>
      <c r="Q122" s="2">
        <v>115</v>
      </c>
    </row>
    <row r="123" spans="1:17" x14ac:dyDescent="0.45">
      <c r="A123" s="1">
        <v>44440</v>
      </c>
      <c r="B123">
        <v>2021</v>
      </c>
      <c r="C123">
        <v>12</v>
      </c>
      <c r="D123" t="s">
        <v>23</v>
      </c>
      <c r="E123" s="2">
        <v>19000000</v>
      </c>
      <c r="F123" s="2">
        <v>1468208.21</v>
      </c>
      <c r="G123" s="2">
        <v>700427.15</v>
      </c>
      <c r="H123" s="2">
        <v>725353.54</v>
      </c>
      <c r="I123" s="2">
        <v>108235.97</v>
      </c>
      <c r="J123">
        <v>95</v>
      </c>
      <c r="K123">
        <v>5</v>
      </c>
      <c r="L123">
        <v>421</v>
      </c>
      <c r="M123">
        <v>4</v>
      </c>
      <c r="N123">
        <v>26</v>
      </c>
      <c r="O123" s="2">
        <v>162083.43</v>
      </c>
      <c r="P123" s="2">
        <v>108.56</v>
      </c>
      <c r="Q123" s="2">
        <v>102.36</v>
      </c>
    </row>
    <row r="124" spans="1:17" x14ac:dyDescent="0.45">
      <c r="A124" s="1">
        <v>45017</v>
      </c>
      <c r="B124">
        <v>2023</v>
      </c>
      <c r="C124">
        <v>7</v>
      </c>
      <c r="D124" t="s">
        <v>27</v>
      </c>
      <c r="E124" s="2">
        <v>26781000</v>
      </c>
      <c r="F124" s="2">
        <v>2305820.86</v>
      </c>
      <c r="G124" s="2">
        <v>1721805.32</v>
      </c>
      <c r="H124" s="2">
        <v>481939.87</v>
      </c>
      <c r="I124" s="2">
        <v>43973.37</v>
      </c>
      <c r="J124">
        <v>208</v>
      </c>
      <c r="K124">
        <v>17</v>
      </c>
      <c r="L124">
        <v>618</v>
      </c>
      <c r="M124">
        <v>8</v>
      </c>
      <c r="N124">
        <v>37</v>
      </c>
      <c r="O124" s="2">
        <v>384090.29</v>
      </c>
      <c r="P124" s="2">
        <v>108.73</v>
      </c>
      <c r="Q124" s="2">
        <v>107.98</v>
      </c>
    </row>
    <row r="125" spans="1:17" x14ac:dyDescent="0.45">
      <c r="A125" s="1">
        <v>45200</v>
      </c>
      <c r="B125">
        <v>2024</v>
      </c>
      <c r="C125">
        <v>1</v>
      </c>
      <c r="D125" t="s">
        <v>21</v>
      </c>
      <c r="E125" s="2">
        <v>8870000</v>
      </c>
      <c r="F125" s="2">
        <v>744513.92</v>
      </c>
      <c r="G125" s="2">
        <v>479244.87</v>
      </c>
      <c r="H125" s="2">
        <v>236989.05</v>
      </c>
      <c r="I125" s="2">
        <v>23334.29</v>
      </c>
      <c r="J125">
        <v>65</v>
      </c>
      <c r="K125">
        <v>6</v>
      </c>
      <c r="L125">
        <v>58</v>
      </c>
      <c r="M125">
        <v>2</v>
      </c>
      <c r="N125">
        <v>23</v>
      </c>
      <c r="O125" s="2">
        <v>64495.47</v>
      </c>
      <c r="P125" s="2">
        <v>100.84</v>
      </c>
      <c r="Q125" s="2">
        <v>110.08</v>
      </c>
    </row>
    <row r="126" spans="1:17" x14ac:dyDescent="0.45">
      <c r="A126" s="1">
        <v>45627</v>
      </c>
      <c r="B126">
        <v>2025</v>
      </c>
      <c r="C126">
        <v>3</v>
      </c>
      <c r="D126" t="s">
        <v>27</v>
      </c>
      <c r="E126" s="2">
        <v>28688000</v>
      </c>
      <c r="F126" s="2">
        <v>2712226.29</v>
      </c>
      <c r="G126" s="2">
        <v>2020951.02</v>
      </c>
      <c r="H126" s="2">
        <v>554331.16</v>
      </c>
      <c r="I126" s="2">
        <v>77490.13</v>
      </c>
      <c r="J126">
        <v>216</v>
      </c>
      <c r="K126">
        <v>17</v>
      </c>
      <c r="L126">
        <v>1045</v>
      </c>
      <c r="M126">
        <v>10</v>
      </c>
      <c r="N126">
        <v>37</v>
      </c>
      <c r="O126" s="2">
        <v>658312.48</v>
      </c>
      <c r="P126" s="2">
        <v>105.45</v>
      </c>
      <c r="Q126" s="2">
        <v>114.65</v>
      </c>
    </row>
    <row r="127" spans="1:17" x14ac:dyDescent="0.45">
      <c r="A127" s="1">
        <v>44470</v>
      </c>
      <c r="B127">
        <v>2022</v>
      </c>
      <c r="C127">
        <v>1</v>
      </c>
      <c r="D127" t="s">
        <v>21</v>
      </c>
      <c r="E127" s="2">
        <v>8280000</v>
      </c>
      <c r="F127" s="2">
        <v>680985.86</v>
      </c>
      <c r="G127" s="2">
        <v>417408.54</v>
      </c>
      <c r="H127" s="2">
        <v>219139.6</v>
      </c>
      <c r="I127" s="2">
        <v>30505.23</v>
      </c>
      <c r="J127">
        <v>63</v>
      </c>
      <c r="K127">
        <v>4</v>
      </c>
      <c r="L127">
        <v>93</v>
      </c>
      <c r="M127">
        <v>1</v>
      </c>
      <c r="N127">
        <v>17</v>
      </c>
      <c r="O127" s="2">
        <v>33078.239999999998</v>
      </c>
      <c r="P127" s="2">
        <v>107.69</v>
      </c>
      <c r="Q127" s="2">
        <v>102.1</v>
      </c>
    </row>
    <row r="128" spans="1:17" x14ac:dyDescent="0.45">
      <c r="A128" s="1">
        <v>45413</v>
      </c>
      <c r="B128">
        <v>2024</v>
      </c>
      <c r="C128">
        <v>8</v>
      </c>
      <c r="D128" t="s">
        <v>24</v>
      </c>
      <c r="E128" s="2">
        <v>14968000</v>
      </c>
      <c r="F128" s="2">
        <v>1202250.23</v>
      </c>
      <c r="G128" s="2">
        <v>615242.77</v>
      </c>
      <c r="H128" s="2">
        <v>506147.93</v>
      </c>
      <c r="I128" s="2">
        <v>90722.94</v>
      </c>
      <c r="J128">
        <v>79</v>
      </c>
      <c r="K128">
        <v>3</v>
      </c>
      <c r="L128">
        <v>145</v>
      </c>
      <c r="M128">
        <v>6</v>
      </c>
      <c r="N128">
        <v>24</v>
      </c>
      <c r="O128" s="2">
        <v>245768.55</v>
      </c>
      <c r="P128" s="2">
        <v>101.52</v>
      </c>
      <c r="Q128" s="2">
        <v>111.69</v>
      </c>
    </row>
    <row r="129" spans="1:17" x14ac:dyDescent="0.45">
      <c r="A129" s="1">
        <v>45870</v>
      </c>
      <c r="B129">
        <v>2025</v>
      </c>
      <c r="C129">
        <v>11</v>
      </c>
      <c r="D129" t="s">
        <v>28</v>
      </c>
      <c r="E129" s="2">
        <v>25246000</v>
      </c>
      <c r="F129" s="2">
        <v>2074736.79</v>
      </c>
      <c r="G129" s="2">
        <v>1664118.93</v>
      </c>
      <c r="H129" s="2">
        <v>402437.03</v>
      </c>
      <c r="I129" s="2">
        <v>30605.63</v>
      </c>
      <c r="J129">
        <v>183</v>
      </c>
      <c r="K129">
        <v>11</v>
      </c>
      <c r="L129">
        <v>489</v>
      </c>
      <c r="M129">
        <v>7</v>
      </c>
      <c r="N129">
        <v>30</v>
      </c>
      <c r="O129" s="2">
        <v>403090.03</v>
      </c>
      <c r="P129" s="2">
        <v>121.77</v>
      </c>
      <c r="Q129" s="2">
        <v>117.03</v>
      </c>
    </row>
    <row r="130" spans="1:17" x14ac:dyDescent="0.45">
      <c r="A130" s="1">
        <v>44652</v>
      </c>
      <c r="B130">
        <v>2022</v>
      </c>
      <c r="C130">
        <v>7</v>
      </c>
      <c r="D130" t="s">
        <v>21</v>
      </c>
      <c r="E130" s="2">
        <v>8280000</v>
      </c>
      <c r="F130" s="2">
        <v>625950.81999999995</v>
      </c>
      <c r="G130" s="2">
        <v>429002.54</v>
      </c>
      <c r="H130" s="2">
        <v>197764.96</v>
      </c>
      <c r="I130" s="2">
        <v>11043.42</v>
      </c>
      <c r="J130">
        <v>64</v>
      </c>
      <c r="K130">
        <v>8</v>
      </c>
      <c r="L130">
        <v>104</v>
      </c>
      <c r="M130">
        <v>4</v>
      </c>
      <c r="N130">
        <v>13</v>
      </c>
      <c r="O130" s="2">
        <v>95755.1</v>
      </c>
      <c r="P130" s="2">
        <v>111.19</v>
      </c>
      <c r="Q130" s="2">
        <v>104.98</v>
      </c>
    </row>
    <row r="131" spans="1:17" x14ac:dyDescent="0.45">
      <c r="A131" s="1">
        <v>45597</v>
      </c>
      <c r="B131">
        <v>2025</v>
      </c>
      <c r="C131">
        <v>2</v>
      </c>
      <c r="D131" t="s">
        <v>23</v>
      </c>
      <c r="E131" s="2">
        <v>21803000</v>
      </c>
      <c r="F131" s="2">
        <v>1935405.68</v>
      </c>
      <c r="G131" s="2">
        <v>847066.32</v>
      </c>
      <c r="H131" s="2">
        <v>987557.19</v>
      </c>
      <c r="I131" s="2">
        <v>148611.56</v>
      </c>
      <c r="J131">
        <v>97</v>
      </c>
      <c r="K131">
        <v>7</v>
      </c>
      <c r="L131">
        <v>462</v>
      </c>
      <c r="M131">
        <v>4</v>
      </c>
      <c r="N131">
        <v>26</v>
      </c>
      <c r="O131" s="2">
        <v>219461</v>
      </c>
      <c r="P131" s="2">
        <v>107.42</v>
      </c>
      <c r="Q131" s="2">
        <v>114.56</v>
      </c>
    </row>
    <row r="132" spans="1:17" x14ac:dyDescent="0.45">
      <c r="A132" s="1">
        <v>45323</v>
      </c>
      <c r="B132">
        <v>2024</v>
      </c>
      <c r="C132">
        <v>5</v>
      </c>
      <c r="D132" t="s">
        <v>18</v>
      </c>
      <c r="E132" s="2">
        <v>3881000</v>
      </c>
      <c r="F132" s="2">
        <v>330690.15999999997</v>
      </c>
      <c r="G132" s="2">
        <v>283022.86</v>
      </c>
      <c r="H132" s="2">
        <v>43196.47</v>
      </c>
      <c r="I132" s="2">
        <v>3900.09</v>
      </c>
      <c r="J132">
        <v>28</v>
      </c>
      <c r="K132">
        <v>5</v>
      </c>
      <c r="L132">
        <v>16</v>
      </c>
      <c r="M132">
        <v>3</v>
      </c>
      <c r="N132">
        <v>11</v>
      </c>
      <c r="O132" s="2">
        <v>21946.95</v>
      </c>
      <c r="P132" s="2">
        <v>98.05</v>
      </c>
      <c r="Q132" s="2">
        <v>112.2</v>
      </c>
    </row>
    <row r="133" spans="1:17" x14ac:dyDescent="0.45">
      <c r="A133" s="1">
        <v>45717</v>
      </c>
      <c r="B133">
        <v>2025</v>
      </c>
      <c r="C133">
        <v>6</v>
      </c>
      <c r="D133" t="s">
        <v>21</v>
      </c>
      <c r="E133" s="2">
        <v>9180000</v>
      </c>
      <c r="F133" s="2">
        <v>718897.7</v>
      </c>
      <c r="G133" s="2">
        <v>491477.99</v>
      </c>
      <c r="H133" s="2">
        <v>215567.11</v>
      </c>
      <c r="I133" s="2">
        <v>21832.36</v>
      </c>
      <c r="J133">
        <v>66</v>
      </c>
      <c r="K133">
        <v>9</v>
      </c>
      <c r="L133">
        <v>49</v>
      </c>
      <c r="M133">
        <v>3</v>
      </c>
      <c r="N133">
        <v>17</v>
      </c>
      <c r="O133" s="2">
        <v>54243.67</v>
      </c>
      <c r="P133" s="2">
        <v>109.69</v>
      </c>
      <c r="Q133" s="2">
        <v>116.54</v>
      </c>
    </row>
    <row r="134" spans="1:17" x14ac:dyDescent="0.45">
      <c r="A134" s="1">
        <v>44621</v>
      </c>
      <c r="B134">
        <v>2022</v>
      </c>
      <c r="C134">
        <v>6</v>
      </c>
      <c r="D134" t="s">
        <v>28</v>
      </c>
      <c r="E134" s="2">
        <v>22770000</v>
      </c>
      <c r="F134" s="2">
        <v>2305847.94</v>
      </c>
      <c r="G134" s="2">
        <v>1650959.62</v>
      </c>
      <c r="H134" s="2">
        <v>417231.63</v>
      </c>
      <c r="I134" s="2">
        <v>241908.86</v>
      </c>
      <c r="J134">
        <v>184</v>
      </c>
      <c r="K134">
        <v>11</v>
      </c>
      <c r="L134">
        <v>812</v>
      </c>
      <c r="M134">
        <v>7</v>
      </c>
      <c r="N134">
        <v>33</v>
      </c>
      <c r="O134" s="2">
        <v>417296.23</v>
      </c>
      <c r="P134" s="2">
        <v>112.68</v>
      </c>
      <c r="Q134" s="2">
        <v>105.18</v>
      </c>
    </row>
    <row r="135" spans="1:17" x14ac:dyDescent="0.45">
      <c r="A135" s="1">
        <v>44593</v>
      </c>
      <c r="B135">
        <v>2022</v>
      </c>
      <c r="C135">
        <v>5</v>
      </c>
      <c r="D135" t="s">
        <v>22</v>
      </c>
      <c r="E135" s="2">
        <v>6417000</v>
      </c>
      <c r="F135" s="2">
        <v>466927.79</v>
      </c>
      <c r="G135" s="2">
        <v>255011.4</v>
      </c>
      <c r="H135" s="2">
        <v>197197.74</v>
      </c>
      <c r="I135" s="2">
        <v>18437.919999999998</v>
      </c>
      <c r="J135">
        <v>29</v>
      </c>
      <c r="K135">
        <v>1</v>
      </c>
      <c r="L135">
        <v>45</v>
      </c>
      <c r="M135">
        <v>1</v>
      </c>
      <c r="N135">
        <v>13</v>
      </c>
      <c r="O135" s="2">
        <v>21044.58</v>
      </c>
      <c r="P135" s="2">
        <v>110.57</v>
      </c>
      <c r="Q135" s="2">
        <v>104.42</v>
      </c>
    </row>
    <row r="136" spans="1:17" x14ac:dyDescent="0.45">
      <c r="A136" s="1">
        <v>45017</v>
      </c>
      <c r="B136">
        <v>2023</v>
      </c>
      <c r="C136">
        <v>7</v>
      </c>
      <c r="D136" t="s">
        <v>19</v>
      </c>
      <c r="E136" s="2">
        <v>5142000</v>
      </c>
      <c r="F136" s="2">
        <v>440137.2</v>
      </c>
      <c r="G136" s="2">
        <v>356264.93</v>
      </c>
      <c r="H136" s="2">
        <v>62944.68</v>
      </c>
      <c r="I136" s="2">
        <v>24939.599999999999</v>
      </c>
      <c r="J136">
        <v>36</v>
      </c>
      <c r="K136">
        <v>1</v>
      </c>
      <c r="L136">
        <v>67</v>
      </c>
      <c r="M136">
        <v>0</v>
      </c>
      <c r="N136">
        <v>13</v>
      </c>
      <c r="O136" s="2">
        <v>12162.21</v>
      </c>
      <c r="P136" s="2">
        <v>104.97</v>
      </c>
      <c r="Q136" s="2">
        <v>108.39</v>
      </c>
    </row>
    <row r="137" spans="1:17" x14ac:dyDescent="0.45">
      <c r="A137" s="1">
        <v>45870</v>
      </c>
      <c r="B137">
        <v>2025</v>
      </c>
      <c r="C137">
        <v>11</v>
      </c>
      <c r="D137" t="s">
        <v>24</v>
      </c>
      <c r="E137" s="2">
        <v>15492000</v>
      </c>
      <c r="F137" s="2">
        <v>1215091.44</v>
      </c>
      <c r="G137" s="2">
        <v>659835.21</v>
      </c>
      <c r="H137" s="2">
        <v>464584.94</v>
      </c>
      <c r="I137" s="2">
        <v>52625.48</v>
      </c>
      <c r="J137">
        <v>84</v>
      </c>
      <c r="K137">
        <v>6</v>
      </c>
      <c r="L137">
        <v>50</v>
      </c>
      <c r="M137">
        <v>5</v>
      </c>
      <c r="N137">
        <v>23</v>
      </c>
      <c r="O137" s="2"/>
      <c r="P137" s="2">
        <v>116.21</v>
      </c>
      <c r="Q137" s="2">
        <v>117.45</v>
      </c>
    </row>
    <row r="138" spans="1:17" x14ac:dyDescent="0.45">
      <c r="A138" s="1">
        <v>45992</v>
      </c>
      <c r="B138">
        <v>2026</v>
      </c>
      <c r="C138">
        <v>3</v>
      </c>
      <c r="D138" t="s">
        <v>25</v>
      </c>
      <c r="E138" s="2">
        <v>4988000</v>
      </c>
      <c r="F138" s="2">
        <v>437155.37</v>
      </c>
      <c r="G138" s="2">
        <v>345584.94</v>
      </c>
      <c r="H138" s="2">
        <v>85275.62</v>
      </c>
      <c r="I138" s="2">
        <v>3885.67</v>
      </c>
      <c r="J138">
        <v>33</v>
      </c>
      <c r="K138">
        <v>3</v>
      </c>
      <c r="L138">
        <v>57</v>
      </c>
      <c r="M138">
        <v>0</v>
      </c>
      <c r="N138">
        <v>12</v>
      </c>
      <c r="O138" s="2">
        <v>9535.92</v>
      </c>
      <c r="P138" s="2">
        <v>124.86</v>
      </c>
      <c r="Q138" s="2">
        <v>118.83</v>
      </c>
    </row>
    <row r="139" spans="1:17" x14ac:dyDescent="0.45">
      <c r="A139" s="1">
        <v>45536</v>
      </c>
      <c r="B139">
        <v>2024</v>
      </c>
      <c r="C139">
        <v>12</v>
      </c>
      <c r="D139" t="s">
        <v>25</v>
      </c>
      <c r="E139" s="2">
        <v>4657000</v>
      </c>
      <c r="F139" s="2">
        <v>419102.44</v>
      </c>
      <c r="G139" s="2">
        <v>329406.19</v>
      </c>
      <c r="H139" s="2">
        <v>74039.149999999994</v>
      </c>
      <c r="I139" s="2">
        <v>10792.98</v>
      </c>
      <c r="J139">
        <v>34</v>
      </c>
      <c r="K139">
        <v>0</v>
      </c>
      <c r="L139">
        <v>39</v>
      </c>
      <c r="M139">
        <v>4</v>
      </c>
      <c r="N139">
        <v>15</v>
      </c>
      <c r="O139" s="2">
        <v>54055.7</v>
      </c>
      <c r="P139" s="2">
        <v>104.87</v>
      </c>
      <c r="Q139" s="2">
        <v>114.44</v>
      </c>
    </row>
    <row r="140" spans="1:17" x14ac:dyDescent="0.45">
      <c r="A140" s="1">
        <v>45047</v>
      </c>
      <c r="B140">
        <v>2023</v>
      </c>
      <c r="C140">
        <v>8</v>
      </c>
      <c r="D140" t="s">
        <v>28</v>
      </c>
      <c r="E140" s="2">
        <v>23567000</v>
      </c>
      <c r="F140" s="2">
        <v>2082468.15</v>
      </c>
      <c r="G140" s="2">
        <v>1604789.74</v>
      </c>
      <c r="H140" s="2">
        <v>395870.03</v>
      </c>
      <c r="I140" s="2">
        <v>67942.399999999994</v>
      </c>
      <c r="J140">
        <v>178</v>
      </c>
      <c r="K140">
        <v>15</v>
      </c>
      <c r="L140">
        <v>645</v>
      </c>
      <c r="M140">
        <v>7</v>
      </c>
      <c r="N140">
        <v>30</v>
      </c>
      <c r="O140" s="2">
        <v>446151.78</v>
      </c>
      <c r="P140" s="2">
        <v>102.46</v>
      </c>
      <c r="Q140" s="2">
        <v>108.53</v>
      </c>
    </row>
    <row r="141" spans="1:17" x14ac:dyDescent="0.45">
      <c r="A141" s="1">
        <v>45748</v>
      </c>
      <c r="B141">
        <v>2025</v>
      </c>
      <c r="C141">
        <v>7</v>
      </c>
      <c r="D141" t="s">
        <v>24</v>
      </c>
      <c r="E141" s="2">
        <v>15492000</v>
      </c>
      <c r="F141" s="2">
        <v>1330800.42</v>
      </c>
      <c r="G141" s="2">
        <v>662661.73</v>
      </c>
      <c r="H141" s="2">
        <v>594890.31999999995</v>
      </c>
      <c r="I141" s="2">
        <v>50445.68</v>
      </c>
      <c r="J141">
        <v>84</v>
      </c>
      <c r="K141">
        <v>4</v>
      </c>
      <c r="L141">
        <v>46</v>
      </c>
      <c r="M141">
        <v>4</v>
      </c>
      <c r="N141">
        <v>21</v>
      </c>
      <c r="O141" s="2">
        <v>159476.5</v>
      </c>
      <c r="P141" s="2">
        <v>113.09</v>
      </c>
      <c r="Q141" s="2">
        <v>116.6</v>
      </c>
    </row>
    <row r="142" spans="1:17" x14ac:dyDescent="0.45">
      <c r="A142" s="1">
        <v>45689</v>
      </c>
      <c r="B142">
        <v>2025</v>
      </c>
      <c r="C142">
        <v>5</v>
      </c>
      <c r="D142" t="s">
        <v>24</v>
      </c>
      <c r="E142" s="2">
        <v>15492000</v>
      </c>
      <c r="F142" s="2">
        <v>1197070.67</v>
      </c>
      <c r="G142" s="2">
        <v>661156.21</v>
      </c>
      <c r="H142" s="2">
        <v>495285.66</v>
      </c>
      <c r="I142" s="2">
        <v>65731.929999999993</v>
      </c>
      <c r="J142">
        <v>82</v>
      </c>
      <c r="K142">
        <v>6</v>
      </c>
      <c r="L142">
        <v>149</v>
      </c>
      <c r="M142">
        <v>4</v>
      </c>
      <c r="N142">
        <v>23</v>
      </c>
      <c r="O142" s="2">
        <v>201558.51</v>
      </c>
      <c r="P142" s="2">
        <v>111.75</v>
      </c>
      <c r="Q142" s="2">
        <v>115.87</v>
      </c>
    </row>
    <row r="143" spans="1:17" x14ac:dyDescent="0.45">
      <c r="A143" s="1">
        <v>44287</v>
      </c>
      <c r="B143">
        <v>2021</v>
      </c>
      <c r="C143">
        <v>7</v>
      </c>
      <c r="D143" t="s">
        <v>18</v>
      </c>
      <c r="E143" s="2">
        <v>3500000</v>
      </c>
      <c r="F143" s="2">
        <v>288536.89</v>
      </c>
      <c r="G143" s="2">
        <v>240298.51</v>
      </c>
      <c r="H143" s="2">
        <v>39945.14</v>
      </c>
      <c r="I143" s="2">
        <v>3231.63</v>
      </c>
      <c r="J143">
        <v>26</v>
      </c>
      <c r="K143">
        <v>0</v>
      </c>
      <c r="L143">
        <v>61</v>
      </c>
      <c r="M143">
        <v>0</v>
      </c>
      <c r="N143">
        <v>4</v>
      </c>
      <c r="O143" s="2">
        <v>1659.09</v>
      </c>
      <c r="P143" s="2">
        <v>106.3</v>
      </c>
      <c r="Q143" s="2">
        <v>100.17</v>
      </c>
    </row>
    <row r="144" spans="1:17" x14ac:dyDescent="0.45">
      <c r="A144" s="1">
        <v>45992</v>
      </c>
      <c r="B144">
        <v>2026</v>
      </c>
      <c r="C144">
        <v>3</v>
      </c>
      <c r="D144" t="s">
        <v>17</v>
      </c>
      <c r="E144" s="2">
        <v>8670000</v>
      </c>
      <c r="F144" s="2">
        <v>805088.2</v>
      </c>
      <c r="G144" s="2">
        <v>390301.16</v>
      </c>
      <c r="H144" s="2">
        <v>392399.56</v>
      </c>
      <c r="I144" s="2">
        <v>37773.43</v>
      </c>
      <c r="J144">
        <v>46</v>
      </c>
      <c r="K144">
        <v>4</v>
      </c>
      <c r="L144">
        <v>62</v>
      </c>
      <c r="M144">
        <v>2</v>
      </c>
      <c r="N144">
        <v>14</v>
      </c>
      <c r="O144" s="2">
        <v>39708.54</v>
      </c>
      <c r="P144" s="2">
        <v>120.61</v>
      </c>
      <c r="Q144" s="2">
        <v>119.44</v>
      </c>
    </row>
    <row r="145" spans="1:17" x14ac:dyDescent="0.45">
      <c r="A145" s="1">
        <v>45809</v>
      </c>
      <c r="B145">
        <v>2025</v>
      </c>
      <c r="C145">
        <v>9</v>
      </c>
      <c r="D145" t="s">
        <v>27</v>
      </c>
      <c r="E145" s="2">
        <v>28688000</v>
      </c>
      <c r="F145" s="2">
        <v>2594188.7000000002</v>
      </c>
      <c r="G145" s="2">
        <v>1914325.14</v>
      </c>
      <c r="H145" s="2">
        <v>634023.41</v>
      </c>
      <c r="I145" s="2">
        <v>74891.789999999994</v>
      </c>
      <c r="J145">
        <v>211</v>
      </c>
      <c r="K145">
        <v>18</v>
      </c>
      <c r="L145">
        <v>1021</v>
      </c>
      <c r="M145">
        <v>8</v>
      </c>
      <c r="N145">
        <v>31</v>
      </c>
      <c r="O145" s="2">
        <v>418054.2</v>
      </c>
      <c r="P145" s="2">
        <v>115.08</v>
      </c>
      <c r="Q145" s="2">
        <v>117.1</v>
      </c>
    </row>
    <row r="146" spans="1:17" x14ac:dyDescent="0.45">
      <c r="A146" s="1">
        <v>44927</v>
      </c>
      <c r="B146">
        <v>2023</v>
      </c>
      <c r="C146">
        <v>4</v>
      </c>
      <c r="D146" t="s">
        <v>27</v>
      </c>
      <c r="E146" s="2">
        <v>26781000</v>
      </c>
      <c r="F146" s="2">
        <v>2374517.21</v>
      </c>
      <c r="G146" s="2">
        <v>1747966.5</v>
      </c>
      <c r="H146" s="2">
        <v>556191.69999999995</v>
      </c>
      <c r="I146" s="2">
        <v>51203.89</v>
      </c>
      <c r="J146">
        <v>211</v>
      </c>
      <c r="K146">
        <v>18</v>
      </c>
      <c r="L146">
        <v>478</v>
      </c>
      <c r="M146">
        <v>7</v>
      </c>
      <c r="N146">
        <v>34</v>
      </c>
      <c r="O146" s="2">
        <v>603172.56999999995</v>
      </c>
      <c r="P146" s="2">
        <v>108.63</v>
      </c>
      <c r="Q146" s="2">
        <v>108.03</v>
      </c>
    </row>
    <row r="147" spans="1:17" x14ac:dyDescent="0.45">
      <c r="A147" s="1">
        <v>44409</v>
      </c>
      <c r="B147">
        <v>2021</v>
      </c>
      <c r="C147">
        <v>11</v>
      </c>
      <c r="D147" t="s">
        <v>23</v>
      </c>
      <c r="E147" s="2">
        <v>19000000</v>
      </c>
      <c r="F147" s="2">
        <v>1573095.19</v>
      </c>
      <c r="G147" s="2">
        <v>729173.25</v>
      </c>
      <c r="H147" s="2">
        <v>748475.74</v>
      </c>
      <c r="I147" s="2">
        <v>63724.42</v>
      </c>
      <c r="J147">
        <v>98</v>
      </c>
      <c r="K147">
        <v>7</v>
      </c>
      <c r="L147">
        <v>391</v>
      </c>
      <c r="M147">
        <v>8</v>
      </c>
      <c r="N147">
        <v>31</v>
      </c>
      <c r="O147" s="2">
        <v>366425.85</v>
      </c>
      <c r="P147" s="2">
        <v>106.79</v>
      </c>
      <c r="Q147" s="2">
        <v>102.17</v>
      </c>
    </row>
    <row r="148" spans="1:17" x14ac:dyDescent="0.45">
      <c r="A148" s="1">
        <v>45931</v>
      </c>
      <c r="B148">
        <v>2026</v>
      </c>
      <c r="C148">
        <v>1</v>
      </c>
      <c r="D148" t="s">
        <v>17</v>
      </c>
      <c r="E148" s="2">
        <v>8670000</v>
      </c>
      <c r="F148" s="2">
        <v>914564.88</v>
      </c>
      <c r="G148" s="2">
        <v>390299.73</v>
      </c>
      <c r="H148" s="2">
        <v>308895.56</v>
      </c>
      <c r="I148" s="2">
        <v>232244.71</v>
      </c>
      <c r="J148">
        <v>45</v>
      </c>
      <c r="K148">
        <v>3</v>
      </c>
      <c r="L148">
        <v>55</v>
      </c>
      <c r="M148">
        <v>2</v>
      </c>
      <c r="N148">
        <v>13</v>
      </c>
      <c r="O148" s="2">
        <v>48920.38</v>
      </c>
      <c r="P148" s="2">
        <v>122.89</v>
      </c>
      <c r="Q148" s="2">
        <v>117.62</v>
      </c>
    </row>
    <row r="149" spans="1:17" x14ac:dyDescent="0.45">
      <c r="A149" s="1">
        <v>45689</v>
      </c>
      <c r="B149">
        <v>2025</v>
      </c>
      <c r="C149">
        <v>5</v>
      </c>
      <c r="D149" t="s">
        <v>18</v>
      </c>
      <c r="E149" s="2">
        <v>4016000</v>
      </c>
      <c r="F149" s="2">
        <v>343635.46</v>
      </c>
      <c r="G149" s="2">
        <v>283679.90000000002</v>
      </c>
      <c r="H149" s="2">
        <v>42006.68</v>
      </c>
      <c r="I149" s="2">
        <v>21045.919999999998</v>
      </c>
      <c r="J149">
        <v>28</v>
      </c>
      <c r="K149">
        <v>2</v>
      </c>
      <c r="L149">
        <v>5</v>
      </c>
      <c r="M149">
        <v>3</v>
      </c>
      <c r="N149">
        <v>9</v>
      </c>
      <c r="O149" s="2">
        <v>29999.37</v>
      </c>
      <c r="P149" s="2">
        <v>111.81</v>
      </c>
      <c r="Q149" s="2">
        <v>115.58</v>
      </c>
    </row>
    <row r="150" spans="1:17" x14ac:dyDescent="0.45">
      <c r="A150" s="1">
        <v>45627</v>
      </c>
      <c r="B150">
        <v>2025</v>
      </c>
      <c r="C150">
        <v>3</v>
      </c>
      <c r="D150" t="s">
        <v>22</v>
      </c>
      <c r="E150" s="2">
        <v>7115000</v>
      </c>
      <c r="F150" s="2">
        <v>763346.87</v>
      </c>
      <c r="G150" s="2">
        <v>321969.91999999998</v>
      </c>
      <c r="H150" s="2">
        <v>285197.93</v>
      </c>
      <c r="I150" s="2">
        <v>147973.07999999999</v>
      </c>
      <c r="J150">
        <v>32</v>
      </c>
      <c r="K150">
        <v>1</v>
      </c>
      <c r="L150">
        <v>54</v>
      </c>
      <c r="M150">
        <v>3</v>
      </c>
      <c r="N150">
        <v>15</v>
      </c>
      <c r="O150" s="2">
        <v>48829.35</v>
      </c>
      <c r="P150" s="2">
        <v>108.91</v>
      </c>
      <c r="Q150" s="2">
        <v>115.12</v>
      </c>
    </row>
    <row r="151" spans="1:17" x14ac:dyDescent="0.45">
      <c r="A151" s="1">
        <v>45474</v>
      </c>
      <c r="B151">
        <v>2024</v>
      </c>
      <c r="C151">
        <v>10</v>
      </c>
      <c r="D151" t="s">
        <v>23</v>
      </c>
      <c r="E151" s="2">
        <v>21066000</v>
      </c>
      <c r="F151" s="2">
        <v>1624764.28</v>
      </c>
      <c r="G151" s="2">
        <v>816677.94</v>
      </c>
      <c r="H151" s="2">
        <v>748158.68</v>
      </c>
      <c r="I151" s="2">
        <v>35592.839999999997</v>
      </c>
      <c r="J151">
        <v>98</v>
      </c>
      <c r="K151">
        <v>9</v>
      </c>
      <c r="L151">
        <v>391</v>
      </c>
      <c r="M151">
        <v>8</v>
      </c>
      <c r="N151">
        <v>35</v>
      </c>
      <c r="O151" s="2">
        <v>322990.07</v>
      </c>
      <c r="P151" s="2">
        <v>102.08</v>
      </c>
      <c r="Q151" s="2">
        <v>113.12</v>
      </c>
    </row>
    <row r="152" spans="1:17" x14ac:dyDescent="0.45">
      <c r="A152" s="1">
        <v>44287</v>
      </c>
      <c r="B152">
        <v>2021</v>
      </c>
      <c r="C152">
        <v>7</v>
      </c>
      <c r="D152" t="s">
        <v>25</v>
      </c>
      <c r="E152" s="2">
        <v>4200000</v>
      </c>
      <c r="F152" s="2">
        <v>339083.54</v>
      </c>
      <c r="G152" s="2">
        <v>275777.06</v>
      </c>
      <c r="H152" s="2">
        <v>57296.97</v>
      </c>
      <c r="I152" s="2">
        <v>6529.23</v>
      </c>
      <c r="J152">
        <v>31</v>
      </c>
      <c r="K152">
        <v>4</v>
      </c>
      <c r="L152">
        <v>47</v>
      </c>
      <c r="M152">
        <v>0</v>
      </c>
      <c r="N152">
        <v>11</v>
      </c>
      <c r="O152" s="2"/>
      <c r="P152" s="2">
        <v>102.79</v>
      </c>
      <c r="Q152" s="2">
        <v>101.36</v>
      </c>
    </row>
    <row r="153" spans="1:17" x14ac:dyDescent="0.45">
      <c r="A153" s="1">
        <v>44256</v>
      </c>
      <c r="B153">
        <v>2021</v>
      </c>
      <c r="C153">
        <v>6</v>
      </c>
      <c r="D153" t="s">
        <v>18</v>
      </c>
      <c r="E153" s="2">
        <v>3500000</v>
      </c>
      <c r="F153" s="2">
        <v>283150.73</v>
      </c>
      <c r="G153" s="2">
        <v>247678.15</v>
      </c>
      <c r="H153" s="2">
        <v>37245.480000000003</v>
      </c>
      <c r="I153" s="2">
        <v>2002.32</v>
      </c>
      <c r="J153">
        <v>26</v>
      </c>
      <c r="K153">
        <v>4</v>
      </c>
      <c r="L153">
        <v>45</v>
      </c>
      <c r="M153">
        <v>2</v>
      </c>
      <c r="N153">
        <v>12</v>
      </c>
      <c r="O153" s="2">
        <v>21782.73</v>
      </c>
      <c r="P153" s="2">
        <v>102.88</v>
      </c>
      <c r="Q153" s="2">
        <v>99.76</v>
      </c>
    </row>
    <row r="154" spans="1:17" x14ac:dyDescent="0.45">
      <c r="A154" s="1">
        <v>44713</v>
      </c>
      <c r="B154">
        <v>2022</v>
      </c>
      <c r="C154">
        <v>9</v>
      </c>
      <c r="D154" t="s">
        <v>25</v>
      </c>
      <c r="E154" s="2">
        <v>4347000</v>
      </c>
      <c r="F154" s="2">
        <v>387009.37</v>
      </c>
      <c r="G154" s="2">
        <v>310698.59999999998</v>
      </c>
      <c r="H154" s="2">
        <v>68420.62</v>
      </c>
      <c r="I154" s="2">
        <v>4146.01</v>
      </c>
      <c r="J154">
        <v>34</v>
      </c>
      <c r="K154">
        <v>2</v>
      </c>
      <c r="L154">
        <v>25</v>
      </c>
      <c r="M154">
        <v>3</v>
      </c>
      <c r="N154">
        <v>14</v>
      </c>
      <c r="O154" s="2">
        <v>32672.959999999999</v>
      </c>
      <c r="P154" s="2">
        <v>111.5</v>
      </c>
      <c r="Q154" s="2">
        <v>105.68</v>
      </c>
    </row>
    <row r="155" spans="1:17" x14ac:dyDescent="0.45">
      <c r="A155" s="1">
        <v>44287</v>
      </c>
      <c r="B155">
        <v>2021</v>
      </c>
      <c r="C155">
        <v>7</v>
      </c>
      <c r="D155" t="s">
        <v>27</v>
      </c>
      <c r="E155" s="2">
        <v>25000000</v>
      </c>
      <c r="F155" s="2">
        <v>2113250.4300000002</v>
      </c>
      <c r="G155" s="2">
        <v>1569796.83</v>
      </c>
      <c r="H155" s="2">
        <v>398074.21</v>
      </c>
      <c r="I155" s="2">
        <v>67271.25</v>
      </c>
      <c r="J155">
        <v>208</v>
      </c>
      <c r="K155">
        <v>15</v>
      </c>
      <c r="L155">
        <v>959</v>
      </c>
      <c r="M155">
        <v>7</v>
      </c>
      <c r="N155">
        <v>37</v>
      </c>
      <c r="O155" s="2">
        <v>326641.75</v>
      </c>
      <c r="P155" s="2">
        <v>104.43</v>
      </c>
      <c r="Q155" s="2">
        <v>100.27</v>
      </c>
    </row>
    <row r="156" spans="1:17" x14ac:dyDescent="0.45">
      <c r="A156" s="1">
        <v>45108</v>
      </c>
      <c r="B156">
        <v>2023</v>
      </c>
      <c r="C156">
        <v>10</v>
      </c>
      <c r="D156" t="s">
        <v>18</v>
      </c>
      <c r="E156" s="2">
        <v>3749000</v>
      </c>
      <c r="F156" s="2">
        <v>319357.44</v>
      </c>
      <c r="G156" s="2">
        <v>276616.28000000003</v>
      </c>
      <c r="H156" s="2">
        <v>41285.800000000003</v>
      </c>
      <c r="I156" s="2">
        <v>6917.21</v>
      </c>
      <c r="J156">
        <v>28</v>
      </c>
      <c r="K156">
        <v>4</v>
      </c>
      <c r="L156">
        <v>31</v>
      </c>
      <c r="M156">
        <v>1</v>
      </c>
      <c r="N156">
        <v>18</v>
      </c>
      <c r="O156" s="2">
        <v>20738.150000000001</v>
      </c>
      <c r="P156" s="2">
        <v>104.55</v>
      </c>
      <c r="Q156" s="2">
        <v>109.24</v>
      </c>
    </row>
    <row r="157" spans="1:17" x14ac:dyDescent="0.45">
      <c r="A157" s="1">
        <v>44287</v>
      </c>
      <c r="B157">
        <v>2021</v>
      </c>
      <c r="C157">
        <v>7</v>
      </c>
      <c r="D157" t="s">
        <v>19</v>
      </c>
      <c r="E157" s="2">
        <v>4800000</v>
      </c>
      <c r="F157" s="2">
        <v>392258.24</v>
      </c>
      <c r="G157" s="2">
        <v>318102.90999999997</v>
      </c>
      <c r="H157" s="2">
        <v>58617.81</v>
      </c>
      <c r="I157" s="2">
        <v>8814.2999999999993</v>
      </c>
      <c r="J157">
        <v>36</v>
      </c>
      <c r="K157">
        <v>2</v>
      </c>
      <c r="L157">
        <v>59</v>
      </c>
      <c r="M157">
        <v>1</v>
      </c>
      <c r="N157">
        <v>12</v>
      </c>
      <c r="O157" s="2">
        <v>19873.7</v>
      </c>
      <c r="P157" s="2">
        <v>103.16</v>
      </c>
      <c r="Q157" s="2">
        <v>100.8</v>
      </c>
    </row>
    <row r="158" spans="1:17" x14ac:dyDescent="0.45">
      <c r="A158" s="1">
        <v>45597</v>
      </c>
      <c r="B158">
        <v>2025</v>
      </c>
      <c r="C158">
        <v>2</v>
      </c>
      <c r="D158" t="s">
        <v>28</v>
      </c>
      <c r="E158" s="2">
        <v>25246000</v>
      </c>
      <c r="F158" s="2">
        <v>2169226.2599999998</v>
      </c>
      <c r="G158" s="2">
        <v>1730545.77</v>
      </c>
      <c r="H158" s="2">
        <v>478757.21</v>
      </c>
      <c r="I158" s="2">
        <v>69041.31</v>
      </c>
      <c r="J158">
        <v>187</v>
      </c>
      <c r="K158">
        <v>13</v>
      </c>
      <c r="L158">
        <v>711</v>
      </c>
      <c r="M158">
        <v>7</v>
      </c>
      <c r="N158">
        <v>24</v>
      </c>
      <c r="O158" s="2">
        <v>299548.15000000002</v>
      </c>
      <c r="P158" s="2">
        <v>105.53</v>
      </c>
      <c r="Q158" s="2">
        <v>114.3</v>
      </c>
    </row>
    <row r="159" spans="1:17" x14ac:dyDescent="0.45">
      <c r="A159" s="1">
        <v>45413</v>
      </c>
      <c r="B159">
        <v>2024</v>
      </c>
      <c r="C159">
        <v>8</v>
      </c>
      <c r="D159" t="s">
        <v>18</v>
      </c>
      <c r="E159" s="2">
        <v>3881000</v>
      </c>
      <c r="F159" s="2">
        <v>316908.98</v>
      </c>
      <c r="G159" s="2">
        <v>273046.77</v>
      </c>
      <c r="H159" s="2">
        <v>43352.84</v>
      </c>
      <c r="I159" s="2">
        <v>2621.3200000000002</v>
      </c>
      <c r="J159">
        <v>28</v>
      </c>
      <c r="K159">
        <v>4</v>
      </c>
      <c r="L159">
        <v>42</v>
      </c>
      <c r="M159">
        <v>2</v>
      </c>
      <c r="N159">
        <v>12</v>
      </c>
      <c r="O159" s="2">
        <v>17048.259999999998</v>
      </c>
      <c r="P159" s="2">
        <v>103.24</v>
      </c>
      <c r="Q159" s="2">
        <v>112.61</v>
      </c>
    </row>
    <row r="160" spans="1:17" x14ac:dyDescent="0.45">
      <c r="A160" s="1">
        <v>44774</v>
      </c>
      <c r="B160">
        <v>2022</v>
      </c>
      <c r="C160">
        <v>11</v>
      </c>
      <c r="D160" t="s">
        <v>21</v>
      </c>
      <c r="E160" s="2">
        <v>8280000</v>
      </c>
      <c r="F160" s="2">
        <v>711627.07</v>
      </c>
      <c r="G160" s="2">
        <v>441029.9</v>
      </c>
      <c r="H160" s="2">
        <v>230613.33</v>
      </c>
      <c r="I160" s="2">
        <v>27473.54</v>
      </c>
      <c r="J160">
        <v>64</v>
      </c>
      <c r="K160">
        <v>1</v>
      </c>
      <c r="L160">
        <v>118</v>
      </c>
      <c r="M160">
        <v>3</v>
      </c>
      <c r="N160">
        <v>16</v>
      </c>
      <c r="O160" s="2">
        <v>48545.79</v>
      </c>
      <c r="P160" s="2">
        <v>111.12</v>
      </c>
      <c r="Q160" s="2">
        <v>105.77</v>
      </c>
    </row>
    <row r="161" spans="1:17" x14ac:dyDescent="0.45">
      <c r="A161" s="1">
        <v>45017</v>
      </c>
      <c r="B161">
        <v>2023</v>
      </c>
      <c r="C161">
        <v>7</v>
      </c>
      <c r="D161" t="s">
        <v>22</v>
      </c>
      <c r="E161" s="2">
        <v>6642000</v>
      </c>
      <c r="F161" s="2">
        <v>586076.37</v>
      </c>
      <c r="G161" s="2">
        <v>261840.65</v>
      </c>
      <c r="H161" s="2">
        <v>215875.91</v>
      </c>
      <c r="I161" s="2">
        <v>121618.16</v>
      </c>
      <c r="J161">
        <v>29</v>
      </c>
      <c r="L161">
        <v>55</v>
      </c>
      <c r="M161">
        <v>2</v>
      </c>
      <c r="N161">
        <v>11</v>
      </c>
      <c r="O161" s="2">
        <v>35066.089999999997</v>
      </c>
      <c r="P161" s="2">
        <v>103.27</v>
      </c>
      <c r="Q161" s="2">
        <v>108.4</v>
      </c>
    </row>
    <row r="162" spans="1:17" x14ac:dyDescent="0.45">
      <c r="A162" s="1">
        <v>45962</v>
      </c>
      <c r="B162">
        <v>2026</v>
      </c>
      <c r="C162">
        <v>2</v>
      </c>
      <c r="D162" t="s">
        <v>23</v>
      </c>
      <c r="E162" s="2">
        <v>22566000</v>
      </c>
      <c r="F162" s="2">
        <v>2007001.26</v>
      </c>
      <c r="G162" s="2">
        <v>937298.74</v>
      </c>
      <c r="H162" s="2">
        <v>1031381.15</v>
      </c>
      <c r="I162" s="2">
        <v>72485.89</v>
      </c>
      <c r="J162">
        <v>103</v>
      </c>
      <c r="K162">
        <v>5</v>
      </c>
      <c r="L162">
        <v>592</v>
      </c>
      <c r="M162">
        <v>7</v>
      </c>
      <c r="N162">
        <v>28</v>
      </c>
      <c r="O162" s="2">
        <v>493140.38</v>
      </c>
      <c r="P162" s="2">
        <v>121.25</v>
      </c>
      <c r="Q162" s="2">
        <v>117.13</v>
      </c>
    </row>
    <row r="163" spans="1:17" x14ac:dyDescent="0.45">
      <c r="A163" s="1">
        <v>44621</v>
      </c>
      <c r="B163">
        <v>2022</v>
      </c>
      <c r="C163">
        <v>6</v>
      </c>
      <c r="D163" t="s">
        <v>27</v>
      </c>
      <c r="E163" s="2">
        <v>25875000</v>
      </c>
      <c r="F163" s="2">
        <v>2217850.39</v>
      </c>
      <c r="G163" s="2">
        <v>1661786.13</v>
      </c>
      <c r="H163" s="2">
        <v>495749.19</v>
      </c>
      <c r="I163" s="2">
        <v>25765.1</v>
      </c>
      <c r="J163">
        <v>205</v>
      </c>
      <c r="K163">
        <v>15</v>
      </c>
      <c r="L163">
        <v>723</v>
      </c>
      <c r="M163">
        <v>6</v>
      </c>
      <c r="N163">
        <v>33</v>
      </c>
      <c r="O163" s="2">
        <v>520338.12</v>
      </c>
      <c r="P163" s="2">
        <v>107.75</v>
      </c>
      <c r="Q163" s="2">
        <v>103.59</v>
      </c>
    </row>
    <row r="164" spans="1:17" x14ac:dyDescent="0.45">
      <c r="A164" s="1">
        <v>45323</v>
      </c>
      <c r="B164">
        <v>2024</v>
      </c>
      <c r="C164">
        <v>5</v>
      </c>
      <c r="D164" t="s">
        <v>28</v>
      </c>
      <c r="E164" s="2">
        <v>24392000</v>
      </c>
      <c r="F164" s="2">
        <v>2035775.34</v>
      </c>
      <c r="G164" s="2">
        <v>1650270.19</v>
      </c>
      <c r="H164" s="2">
        <v>307411.31</v>
      </c>
      <c r="I164" s="2">
        <v>28788.2</v>
      </c>
      <c r="J164">
        <v>176</v>
      </c>
      <c r="K164">
        <v>13</v>
      </c>
      <c r="L164">
        <v>887</v>
      </c>
      <c r="M164">
        <v>5</v>
      </c>
      <c r="N164">
        <v>27</v>
      </c>
      <c r="O164" s="2">
        <v>299179.81</v>
      </c>
      <c r="P164" s="2">
        <v>100.83</v>
      </c>
      <c r="Q164" s="2">
        <v>111.12</v>
      </c>
    </row>
    <row r="165" spans="1:17" x14ac:dyDescent="0.45">
      <c r="A165" s="1">
        <v>45474</v>
      </c>
      <c r="B165">
        <v>2024</v>
      </c>
      <c r="C165">
        <v>10</v>
      </c>
      <c r="D165" t="s">
        <v>18</v>
      </c>
      <c r="E165" s="2">
        <v>3881000</v>
      </c>
      <c r="F165" s="2">
        <v>338726.53</v>
      </c>
      <c r="G165" s="2">
        <v>287559.64</v>
      </c>
      <c r="H165" s="2">
        <v>43038.84</v>
      </c>
      <c r="I165" s="2">
        <v>2007.01</v>
      </c>
      <c r="J165">
        <v>28</v>
      </c>
      <c r="K165">
        <v>1</v>
      </c>
      <c r="L165">
        <v>38</v>
      </c>
      <c r="M165">
        <v>1</v>
      </c>
      <c r="N165">
        <v>13</v>
      </c>
      <c r="O165" s="2">
        <v>13802.55</v>
      </c>
      <c r="P165" s="2">
        <v>103.26</v>
      </c>
      <c r="Q165" s="2">
        <v>112.99</v>
      </c>
    </row>
    <row r="166" spans="1:17" x14ac:dyDescent="0.45">
      <c r="A166" s="1">
        <v>45962</v>
      </c>
      <c r="B166">
        <v>2026</v>
      </c>
      <c r="C166">
        <v>2</v>
      </c>
      <c r="D166" t="s">
        <v>27</v>
      </c>
      <c r="E166" s="2">
        <v>29692000</v>
      </c>
      <c r="F166" s="2">
        <v>2620380.54</v>
      </c>
      <c r="G166" s="2">
        <v>2059988.84</v>
      </c>
      <c r="H166" s="2">
        <v>630161.87</v>
      </c>
      <c r="I166" s="2">
        <v>96129.42</v>
      </c>
      <c r="J166">
        <v>219</v>
      </c>
      <c r="K166">
        <v>17</v>
      </c>
      <c r="L166">
        <v>848</v>
      </c>
      <c r="M166">
        <v>8</v>
      </c>
      <c r="N166">
        <v>34</v>
      </c>
      <c r="O166" s="2">
        <v>707010.42</v>
      </c>
      <c r="P166" s="2">
        <v>120.51</v>
      </c>
      <c r="Q166" s="2">
        <v>119.51</v>
      </c>
    </row>
    <row r="167" spans="1:17" x14ac:dyDescent="0.45">
      <c r="A167" s="1">
        <v>45474</v>
      </c>
      <c r="B167">
        <v>2024</v>
      </c>
      <c r="C167">
        <v>10</v>
      </c>
      <c r="D167" t="s">
        <v>24</v>
      </c>
      <c r="E167" s="2">
        <v>14968000</v>
      </c>
      <c r="F167" s="2">
        <v>1264569.93</v>
      </c>
      <c r="G167" s="2">
        <v>621377.41</v>
      </c>
      <c r="H167" s="2">
        <v>492542.82</v>
      </c>
      <c r="I167" s="2">
        <v>80827.710000000006</v>
      </c>
      <c r="J167">
        <v>81</v>
      </c>
      <c r="K167">
        <v>4</v>
      </c>
      <c r="L167">
        <v>93</v>
      </c>
      <c r="M167">
        <v>6</v>
      </c>
      <c r="N167">
        <v>29</v>
      </c>
      <c r="O167" s="2">
        <v>232212.86</v>
      </c>
      <c r="P167" s="2">
        <v>102.9</v>
      </c>
      <c r="Q167" s="2">
        <v>112.97</v>
      </c>
    </row>
    <row r="168" spans="1:17" x14ac:dyDescent="0.45">
      <c r="A168" s="1">
        <v>44228</v>
      </c>
      <c r="B168">
        <v>2021</v>
      </c>
      <c r="C168">
        <v>5</v>
      </c>
      <c r="D168" t="s">
        <v>23</v>
      </c>
      <c r="E168" s="2">
        <v>19000000</v>
      </c>
      <c r="F168" s="2">
        <v>1380054.23</v>
      </c>
      <c r="G168" s="2">
        <v>744015.03</v>
      </c>
      <c r="H168" s="2">
        <v>720438.41</v>
      </c>
      <c r="I168" s="2">
        <v>39627.89</v>
      </c>
      <c r="J168">
        <v>96</v>
      </c>
      <c r="K168">
        <v>7</v>
      </c>
      <c r="L168">
        <v>423</v>
      </c>
      <c r="M168">
        <v>6</v>
      </c>
      <c r="N168">
        <v>29</v>
      </c>
      <c r="O168" s="2">
        <v>221724.25</v>
      </c>
      <c r="P168" s="2">
        <v>100.12</v>
      </c>
      <c r="Q168" s="2">
        <v>100.67</v>
      </c>
    </row>
    <row r="169" spans="1:17" x14ac:dyDescent="0.45">
      <c r="A169" s="1">
        <v>45017</v>
      </c>
      <c r="B169">
        <v>2023</v>
      </c>
      <c r="C169">
        <v>7</v>
      </c>
      <c r="D169" t="s">
        <v>18</v>
      </c>
      <c r="E169" s="2">
        <v>3749000</v>
      </c>
      <c r="F169" s="2">
        <v>310437.37</v>
      </c>
      <c r="G169" s="2">
        <v>264461.76</v>
      </c>
      <c r="H169" s="2">
        <v>41378.980000000003</v>
      </c>
      <c r="I169" s="2">
        <v>6223.8</v>
      </c>
      <c r="J169">
        <v>27</v>
      </c>
      <c r="K169">
        <v>3</v>
      </c>
      <c r="L169">
        <v>50</v>
      </c>
      <c r="M169">
        <v>2</v>
      </c>
      <c r="N169">
        <v>11</v>
      </c>
      <c r="O169" s="2">
        <v>23348.32</v>
      </c>
      <c r="P169" s="2">
        <v>102.29</v>
      </c>
      <c r="Q169" s="2">
        <v>107.88</v>
      </c>
    </row>
    <row r="170" spans="1:17" x14ac:dyDescent="0.45">
      <c r="A170" s="1">
        <v>44927</v>
      </c>
      <c r="B170">
        <v>2023</v>
      </c>
      <c r="C170">
        <v>4</v>
      </c>
      <c r="D170" t="s">
        <v>21</v>
      </c>
      <c r="E170" s="2">
        <v>8570000</v>
      </c>
      <c r="F170" s="2">
        <v>694742.27</v>
      </c>
      <c r="G170" s="2">
        <v>472495.49</v>
      </c>
      <c r="H170" s="2">
        <v>218278.69</v>
      </c>
      <c r="I170" s="2">
        <v>22525.45</v>
      </c>
      <c r="J170">
        <v>65</v>
      </c>
      <c r="K170">
        <v>4</v>
      </c>
      <c r="L170">
        <v>121</v>
      </c>
      <c r="M170">
        <v>4</v>
      </c>
      <c r="N170">
        <v>19</v>
      </c>
      <c r="O170" s="2">
        <v>113473.47</v>
      </c>
      <c r="P170" s="2">
        <v>105.65</v>
      </c>
      <c r="Q170" s="2">
        <v>107.34</v>
      </c>
    </row>
    <row r="171" spans="1:17" x14ac:dyDescent="0.45">
      <c r="A171" s="1">
        <v>45992</v>
      </c>
      <c r="B171">
        <v>2026</v>
      </c>
      <c r="C171">
        <v>3</v>
      </c>
      <c r="D171" t="s">
        <v>22</v>
      </c>
      <c r="E171" s="2">
        <v>7364000</v>
      </c>
      <c r="F171" s="2">
        <v>817404.59</v>
      </c>
      <c r="G171" s="2">
        <v>309080.96000000002</v>
      </c>
      <c r="H171" s="2">
        <v>336267.65</v>
      </c>
      <c r="I171" s="2">
        <v>165886.87</v>
      </c>
      <c r="J171">
        <v>31</v>
      </c>
      <c r="K171">
        <v>1</v>
      </c>
      <c r="L171">
        <v>69</v>
      </c>
      <c r="M171">
        <v>0</v>
      </c>
      <c r="N171">
        <v>10</v>
      </c>
      <c r="O171" s="2">
        <v>12614.48</v>
      </c>
      <c r="P171" s="2">
        <v>119.52</v>
      </c>
      <c r="Q171" s="2">
        <v>119.27</v>
      </c>
    </row>
    <row r="172" spans="1:17" x14ac:dyDescent="0.45">
      <c r="A172" s="1">
        <v>45352</v>
      </c>
      <c r="B172">
        <v>2024</v>
      </c>
      <c r="C172">
        <v>6</v>
      </c>
      <c r="D172" t="s">
        <v>25</v>
      </c>
      <c r="E172" s="2">
        <v>4657000</v>
      </c>
      <c r="F172" s="2">
        <v>404396.24</v>
      </c>
      <c r="G172" s="2">
        <v>326632.44</v>
      </c>
      <c r="H172" s="2">
        <v>66051.679999999993</v>
      </c>
      <c r="I172" s="2">
        <v>8785.89</v>
      </c>
      <c r="J172">
        <v>34</v>
      </c>
      <c r="K172">
        <v>4</v>
      </c>
      <c r="L172">
        <v>47</v>
      </c>
      <c r="M172">
        <v>2</v>
      </c>
      <c r="N172">
        <v>17</v>
      </c>
      <c r="O172" s="2">
        <v>37350.19</v>
      </c>
      <c r="P172" s="2">
        <v>103.46</v>
      </c>
      <c r="Q172" s="2">
        <v>112.54</v>
      </c>
    </row>
    <row r="173" spans="1:17" x14ac:dyDescent="0.45">
      <c r="A173" s="1">
        <v>45992</v>
      </c>
      <c r="B173">
        <v>2026</v>
      </c>
      <c r="C173">
        <v>3</v>
      </c>
      <c r="D173" t="s">
        <v>21</v>
      </c>
      <c r="E173" s="2">
        <v>9501000</v>
      </c>
      <c r="F173" s="2">
        <v>786928.94</v>
      </c>
      <c r="G173" s="2">
        <v>507342.48</v>
      </c>
      <c r="H173" s="2">
        <v>270883.20000000001</v>
      </c>
      <c r="I173" s="2">
        <v>14980.2</v>
      </c>
      <c r="J173">
        <v>64</v>
      </c>
      <c r="K173">
        <v>3</v>
      </c>
      <c r="L173">
        <v>101</v>
      </c>
      <c r="M173">
        <v>5</v>
      </c>
      <c r="N173">
        <v>20</v>
      </c>
      <c r="O173" s="2">
        <v>110809.72</v>
      </c>
      <c r="P173" s="2">
        <v>121.19</v>
      </c>
      <c r="Q173" s="2">
        <v>119.25</v>
      </c>
    </row>
    <row r="174" spans="1:17" x14ac:dyDescent="0.45">
      <c r="A174" s="1">
        <v>45047</v>
      </c>
      <c r="B174">
        <v>2023</v>
      </c>
      <c r="C174">
        <v>8</v>
      </c>
      <c r="D174" t="s">
        <v>25</v>
      </c>
      <c r="E174" s="2">
        <v>4499000</v>
      </c>
      <c r="F174" s="2">
        <v>357256.32</v>
      </c>
      <c r="G174" s="2">
        <v>293053.25</v>
      </c>
      <c r="H174" s="2">
        <v>62025.37</v>
      </c>
      <c r="I174" s="2">
        <v>3213.94</v>
      </c>
      <c r="J174">
        <v>32</v>
      </c>
      <c r="K174">
        <v>4</v>
      </c>
      <c r="L174">
        <v>35</v>
      </c>
      <c r="M174">
        <v>2</v>
      </c>
      <c r="N174">
        <v>11</v>
      </c>
      <c r="O174" s="2">
        <v>18395.18</v>
      </c>
      <c r="P174" s="2">
        <v>106.31</v>
      </c>
      <c r="Q174" s="2">
        <v>108.93</v>
      </c>
    </row>
    <row r="175" spans="1:17" x14ac:dyDescent="0.45">
      <c r="A175" s="1">
        <v>45474</v>
      </c>
      <c r="B175">
        <v>2024</v>
      </c>
      <c r="C175">
        <v>10</v>
      </c>
      <c r="D175" t="s">
        <v>22</v>
      </c>
      <c r="E175" s="2">
        <v>6874000</v>
      </c>
      <c r="F175" s="2">
        <v>687006.87</v>
      </c>
      <c r="G175" s="2">
        <v>273422.13</v>
      </c>
      <c r="H175" s="2">
        <v>232307.59</v>
      </c>
      <c r="I175" s="2">
        <v>169271.95</v>
      </c>
      <c r="J175">
        <v>30</v>
      </c>
      <c r="K175">
        <v>3</v>
      </c>
      <c r="L175">
        <v>37</v>
      </c>
      <c r="M175">
        <v>3</v>
      </c>
      <c r="N175">
        <v>18</v>
      </c>
      <c r="O175" s="2">
        <v>72011.94</v>
      </c>
      <c r="P175" s="2">
        <v>102.43</v>
      </c>
      <c r="Q175" s="2">
        <v>113.89</v>
      </c>
    </row>
    <row r="176" spans="1:17" x14ac:dyDescent="0.45">
      <c r="A176" s="1">
        <v>45870</v>
      </c>
      <c r="B176">
        <v>2025</v>
      </c>
      <c r="C176">
        <v>11</v>
      </c>
      <c r="D176" t="s">
        <v>22</v>
      </c>
      <c r="E176" s="2">
        <v>7115000</v>
      </c>
      <c r="F176" s="2">
        <v>619753.27</v>
      </c>
      <c r="G176" s="2">
        <v>322053.46000000002</v>
      </c>
      <c r="H176" s="2">
        <v>239859.32</v>
      </c>
      <c r="I176" s="2">
        <v>42712.5</v>
      </c>
      <c r="J176">
        <v>32</v>
      </c>
      <c r="K176">
        <v>4</v>
      </c>
      <c r="L176">
        <v>39</v>
      </c>
      <c r="M176">
        <v>3</v>
      </c>
      <c r="N176">
        <v>21</v>
      </c>
      <c r="O176" s="2">
        <v>54710.87</v>
      </c>
      <c r="P176" s="2">
        <v>115.16</v>
      </c>
      <c r="Q176" s="2">
        <v>117.42</v>
      </c>
    </row>
    <row r="177" spans="1:17" x14ac:dyDescent="0.45">
      <c r="A177" s="1">
        <v>45292</v>
      </c>
      <c r="B177">
        <v>2024</v>
      </c>
      <c r="C177">
        <v>4</v>
      </c>
      <c r="D177" t="s">
        <v>23</v>
      </c>
      <c r="E177" s="2">
        <v>21066000</v>
      </c>
      <c r="F177" s="2">
        <v>1519835.05</v>
      </c>
      <c r="G177" s="2">
        <v>811307.53</v>
      </c>
      <c r="H177" s="2">
        <v>634553.86</v>
      </c>
      <c r="I177" s="2">
        <v>83297.19</v>
      </c>
      <c r="J177">
        <v>97</v>
      </c>
      <c r="K177">
        <v>6</v>
      </c>
      <c r="L177">
        <v>382</v>
      </c>
      <c r="M177">
        <v>4</v>
      </c>
      <c r="N177">
        <v>24</v>
      </c>
      <c r="O177" s="2">
        <v>261224.79</v>
      </c>
      <c r="P177" s="2">
        <v>98.27</v>
      </c>
      <c r="Q177" s="2">
        <v>111.05</v>
      </c>
    </row>
    <row r="178" spans="1:17" x14ac:dyDescent="0.45">
      <c r="A178" s="1">
        <v>45597</v>
      </c>
      <c r="B178">
        <v>2025</v>
      </c>
      <c r="C178">
        <v>2</v>
      </c>
      <c r="D178" t="s">
        <v>18</v>
      </c>
      <c r="E178" s="2">
        <v>4016000</v>
      </c>
      <c r="F178" s="2">
        <v>366879.22</v>
      </c>
      <c r="G178" s="2">
        <v>304577.3</v>
      </c>
      <c r="H178" s="2">
        <v>49380.11</v>
      </c>
      <c r="I178" s="2">
        <v>8080.11</v>
      </c>
      <c r="J178">
        <v>28</v>
      </c>
      <c r="K178">
        <v>3</v>
      </c>
      <c r="L178">
        <v>63</v>
      </c>
      <c r="M178">
        <v>2</v>
      </c>
      <c r="N178">
        <v>14</v>
      </c>
      <c r="O178" s="2">
        <v>16672.98</v>
      </c>
      <c r="P178" s="2">
        <v>103.62</v>
      </c>
      <c r="Q178" s="2">
        <v>114.34</v>
      </c>
    </row>
    <row r="179" spans="1:17" x14ac:dyDescent="0.45">
      <c r="A179" s="1">
        <v>44470</v>
      </c>
      <c r="B179">
        <v>2022</v>
      </c>
      <c r="C179">
        <v>1</v>
      </c>
      <c r="D179" t="s">
        <v>28</v>
      </c>
      <c r="E179" s="2">
        <v>22770000</v>
      </c>
      <c r="F179" s="2">
        <v>1855877.17</v>
      </c>
      <c r="G179" s="2">
        <v>1501302.38</v>
      </c>
      <c r="H179" s="2">
        <v>348095.44</v>
      </c>
      <c r="I179" s="2">
        <v>29133.06</v>
      </c>
      <c r="J179">
        <v>172</v>
      </c>
      <c r="K179">
        <v>20</v>
      </c>
      <c r="M179">
        <v>9</v>
      </c>
      <c r="N179">
        <v>39</v>
      </c>
      <c r="O179" s="2">
        <v>569024.75</v>
      </c>
      <c r="P179" s="2">
        <v>111.67</v>
      </c>
      <c r="Q179" s="2">
        <v>103.17</v>
      </c>
    </row>
    <row r="180" spans="1:17" x14ac:dyDescent="0.45">
      <c r="A180" s="1">
        <v>45231</v>
      </c>
      <c r="B180">
        <v>2024</v>
      </c>
      <c r="C180">
        <v>2</v>
      </c>
      <c r="D180" t="s">
        <v>25</v>
      </c>
      <c r="E180" s="2">
        <v>4657000</v>
      </c>
      <c r="F180" s="2">
        <v>389092.75</v>
      </c>
      <c r="G180" s="2">
        <v>320483.83</v>
      </c>
      <c r="H180" s="2">
        <v>65737.19</v>
      </c>
      <c r="I180" s="2">
        <v>7943.49</v>
      </c>
      <c r="J180">
        <v>33</v>
      </c>
      <c r="K180">
        <v>2</v>
      </c>
      <c r="L180">
        <v>45</v>
      </c>
      <c r="M180">
        <v>2</v>
      </c>
      <c r="N180">
        <v>10</v>
      </c>
      <c r="O180" s="2">
        <v>23139.99</v>
      </c>
      <c r="P180" s="2">
        <v>100</v>
      </c>
      <c r="Q180" s="2">
        <v>109.94</v>
      </c>
    </row>
    <row r="181" spans="1:17" x14ac:dyDescent="0.45">
      <c r="A181" s="1">
        <v>44287</v>
      </c>
      <c r="B181">
        <v>2021</v>
      </c>
      <c r="C181">
        <v>7</v>
      </c>
      <c r="D181" t="s">
        <v>17</v>
      </c>
      <c r="E181" s="2">
        <v>7300000</v>
      </c>
      <c r="F181" s="2">
        <v>606623.18000000005</v>
      </c>
      <c r="G181" s="2">
        <v>300343.43</v>
      </c>
      <c r="H181" s="2">
        <v>273026.71999999997</v>
      </c>
      <c r="I181" s="2">
        <v>20101.32</v>
      </c>
      <c r="J181">
        <v>43</v>
      </c>
      <c r="L181">
        <v>11</v>
      </c>
      <c r="M181">
        <v>4</v>
      </c>
      <c r="N181">
        <v>11</v>
      </c>
      <c r="O181" s="2">
        <v>83371.03</v>
      </c>
      <c r="P181" s="2">
        <v>105.29</v>
      </c>
      <c r="Q181" s="2">
        <v>100.74</v>
      </c>
    </row>
    <row r="182" spans="1:17" x14ac:dyDescent="0.45">
      <c r="A182" s="1">
        <v>44228</v>
      </c>
      <c r="B182">
        <v>2021</v>
      </c>
      <c r="C182">
        <v>5</v>
      </c>
      <c r="D182" t="s">
        <v>27</v>
      </c>
      <c r="E182" s="2">
        <v>25000000</v>
      </c>
      <c r="F182" s="2">
        <v>1940087.19</v>
      </c>
      <c r="G182" s="2">
        <v>1565557.42</v>
      </c>
      <c r="H182" s="2">
        <v>392284.39</v>
      </c>
      <c r="I182" s="2">
        <v>24036.09</v>
      </c>
      <c r="J182">
        <v>203</v>
      </c>
      <c r="K182">
        <v>14</v>
      </c>
      <c r="L182">
        <v>599</v>
      </c>
      <c r="M182">
        <v>3</v>
      </c>
      <c r="N182">
        <v>26</v>
      </c>
      <c r="O182" s="2">
        <v>240186.11</v>
      </c>
      <c r="P182" s="2">
        <v>100.17</v>
      </c>
      <c r="Q182" s="2">
        <v>101.39</v>
      </c>
    </row>
    <row r="183" spans="1:17" x14ac:dyDescent="0.45">
      <c r="A183" s="1">
        <v>44927</v>
      </c>
      <c r="B183">
        <v>2023</v>
      </c>
      <c r="C183">
        <v>4</v>
      </c>
      <c r="D183" t="s">
        <v>24</v>
      </c>
      <c r="E183" s="2">
        <v>14462000</v>
      </c>
      <c r="F183" s="2">
        <v>1010618.03</v>
      </c>
      <c r="G183" s="2">
        <v>579497.17000000004</v>
      </c>
      <c r="H183" s="2">
        <v>442122.91</v>
      </c>
      <c r="I183" s="2">
        <v>36025.870000000003</v>
      </c>
      <c r="J183">
        <v>79</v>
      </c>
      <c r="K183">
        <v>2</v>
      </c>
      <c r="L183">
        <v>88</v>
      </c>
      <c r="M183">
        <v>3</v>
      </c>
      <c r="N183">
        <v>22</v>
      </c>
      <c r="O183" s="2">
        <v>117352.39</v>
      </c>
      <c r="P183" s="2">
        <v>110.93</v>
      </c>
      <c r="Q183" s="2">
        <v>107.13</v>
      </c>
    </row>
    <row r="184" spans="1:17" x14ac:dyDescent="0.45">
      <c r="A184" s="1">
        <v>45352</v>
      </c>
      <c r="B184">
        <v>2024</v>
      </c>
      <c r="C184">
        <v>6</v>
      </c>
      <c r="D184" t="s">
        <v>19</v>
      </c>
      <c r="E184" s="2">
        <v>5322000</v>
      </c>
      <c r="F184" s="2">
        <v>441679.56</v>
      </c>
      <c r="G184" s="2">
        <v>367886.82</v>
      </c>
      <c r="H184" s="2">
        <v>59940.55</v>
      </c>
      <c r="I184" s="2">
        <v>8640.3799999999992</v>
      </c>
      <c r="J184">
        <v>36</v>
      </c>
      <c r="K184">
        <v>2</v>
      </c>
      <c r="L184">
        <v>60</v>
      </c>
      <c r="M184">
        <v>2</v>
      </c>
      <c r="N184">
        <v>11</v>
      </c>
      <c r="O184" s="2">
        <v>28015.85</v>
      </c>
      <c r="P184" s="2">
        <v>101.27</v>
      </c>
      <c r="Q184" s="2">
        <v>112.8</v>
      </c>
    </row>
    <row r="185" spans="1:17" x14ac:dyDescent="0.45">
      <c r="A185" s="1">
        <v>44348</v>
      </c>
      <c r="B185">
        <v>2021</v>
      </c>
      <c r="C185">
        <v>9</v>
      </c>
      <c r="D185" t="s">
        <v>19</v>
      </c>
      <c r="E185" s="2">
        <v>4800000</v>
      </c>
      <c r="F185" s="2">
        <v>393812.58</v>
      </c>
      <c r="G185" s="2">
        <v>334998.38</v>
      </c>
      <c r="H185" s="2">
        <v>60390.74</v>
      </c>
      <c r="I185" s="2">
        <v>10791.63</v>
      </c>
      <c r="J185">
        <v>36</v>
      </c>
      <c r="K185">
        <v>1</v>
      </c>
      <c r="L185">
        <v>41</v>
      </c>
      <c r="M185">
        <v>2</v>
      </c>
      <c r="N185">
        <v>14</v>
      </c>
      <c r="O185" s="2">
        <v>19788.240000000002</v>
      </c>
      <c r="P185" s="2">
        <v>105.44</v>
      </c>
      <c r="Q185" s="2">
        <v>101.53</v>
      </c>
    </row>
    <row r="186" spans="1:17" x14ac:dyDescent="0.45">
      <c r="A186" s="1">
        <v>45992</v>
      </c>
      <c r="B186">
        <v>2026</v>
      </c>
      <c r="C186">
        <v>3</v>
      </c>
      <c r="D186" t="s">
        <v>24</v>
      </c>
      <c r="E186" s="2">
        <v>16034000</v>
      </c>
      <c r="F186" s="2">
        <v>1418424.56</v>
      </c>
      <c r="G186" s="2">
        <v>720818.15</v>
      </c>
      <c r="H186" s="2">
        <v>657131.53</v>
      </c>
      <c r="I186" s="2">
        <v>49838.55</v>
      </c>
      <c r="J186">
        <v>83</v>
      </c>
      <c r="K186">
        <v>7</v>
      </c>
      <c r="L186">
        <v>252</v>
      </c>
      <c r="M186">
        <v>7</v>
      </c>
      <c r="N186">
        <v>22</v>
      </c>
      <c r="O186" s="2">
        <v>233856.99</v>
      </c>
      <c r="P186" s="2">
        <v>119.14</v>
      </c>
      <c r="Q186" s="2">
        <v>119.56</v>
      </c>
    </row>
    <row r="187" spans="1:17" x14ac:dyDescent="0.45">
      <c r="A187" s="1">
        <v>45658</v>
      </c>
      <c r="B187">
        <v>2025</v>
      </c>
      <c r="C187">
        <v>4</v>
      </c>
      <c r="D187" t="s">
        <v>17</v>
      </c>
      <c r="E187" s="2">
        <v>8377000</v>
      </c>
      <c r="F187" s="2">
        <v>631221.16</v>
      </c>
      <c r="G187" s="2">
        <v>379490.57</v>
      </c>
      <c r="H187" s="2">
        <v>202536.09</v>
      </c>
      <c r="I187" s="2">
        <v>47965.85</v>
      </c>
      <c r="J187">
        <v>46</v>
      </c>
      <c r="K187">
        <v>0</v>
      </c>
      <c r="L187">
        <v>52</v>
      </c>
      <c r="M187">
        <v>1</v>
      </c>
      <c r="N187">
        <v>19</v>
      </c>
      <c r="O187" s="2">
        <v>45905.39</v>
      </c>
      <c r="P187" s="2">
        <v>107.14</v>
      </c>
      <c r="Q187" s="2">
        <v>114.77</v>
      </c>
    </row>
    <row r="188" spans="1:17" x14ac:dyDescent="0.45">
      <c r="A188" s="1">
        <v>44835</v>
      </c>
      <c r="B188">
        <v>2023</v>
      </c>
      <c r="C188">
        <v>1</v>
      </c>
      <c r="D188" t="s">
        <v>23</v>
      </c>
      <c r="E188" s="2">
        <v>20353000</v>
      </c>
      <c r="F188" s="2">
        <v>1980300.76</v>
      </c>
      <c r="G188" s="2">
        <v>752767.95</v>
      </c>
      <c r="H188" s="2">
        <v>910229.36</v>
      </c>
      <c r="I188" s="2">
        <v>420917.34</v>
      </c>
      <c r="J188">
        <v>94</v>
      </c>
      <c r="K188">
        <v>7</v>
      </c>
      <c r="L188">
        <v>474</v>
      </c>
      <c r="M188">
        <v>10</v>
      </c>
      <c r="N188">
        <v>34</v>
      </c>
      <c r="O188" s="2">
        <v>433155.8</v>
      </c>
      <c r="P188" s="2">
        <v>104.74</v>
      </c>
      <c r="Q188" s="2">
        <v>106.61</v>
      </c>
    </row>
    <row r="189" spans="1:17" x14ac:dyDescent="0.45">
      <c r="A189" s="1">
        <v>44866</v>
      </c>
      <c r="B189">
        <v>2023</v>
      </c>
      <c r="C189">
        <v>2</v>
      </c>
      <c r="D189" t="s">
        <v>17</v>
      </c>
      <c r="E189" s="2">
        <v>7820000</v>
      </c>
      <c r="F189" s="2">
        <v>649448.36</v>
      </c>
      <c r="G189" s="2">
        <v>353169.24</v>
      </c>
      <c r="H189" s="2">
        <v>287313.3</v>
      </c>
      <c r="I189" s="2">
        <v>20550.72</v>
      </c>
      <c r="J189">
        <v>45</v>
      </c>
      <c r="K189">
        <v>5</v>
      </c>
      <c r="L189">
        <v>87</v>
      </c>
      <c r="M189">
        <v>1</v>
      </c>
      <c r="N189">
        <v>12</v>
      </c>
      <c r="O189" s="2">
        <v>21378.76</v>
      </c>
      <c r="P189" s="2">
        <v>109.47</v>
      </c>
      <c r="Q189" s="2">
        <v>107.94</v>
      </c>
    </row>
    <row r="190" spans="1:17" x14ac:dyDescent="0.45">
      <c r="A190" s="1">
        <v>44228</v>
      </c>
      <c r="B190">
        <v>2021</v>
      </c>
      <c r="C190">
        <v>5</v>
      </c>
      <c r="D190" t="s">
        <v>22</v>
      </c>
      <c r="E190" s="2">
        <v>6200000</v>
      </c>
      <c r="F190" s="2">
        <v>602032.63</v>
      </c>
      <c r="G190" s="2">
        <v>263503.13</v>
      </c>
      <c r="H190" s="2">
        <v>206101.73</v>
      </c>
      <c r="I190" s="2">
        <v>124218.02</v>
      </c>
      <c r="J190">
        <v>30</v>
      </c>
      <c r="K190">
        <v>3</v>
      </c>
      <c r="L190">
        <v>37</v>
      </c>
      <c r="M190">
        <v>3</v>
      </c>
      <c r="N190">
        <v>14</v>
      </c>
      <c r="O190" s="2">
        <v>37245.97</v>
      </c>
      <c r="P190" s="2">
        <v>98.33</v>
      </c>
      <c r="Q190" s="2">
        <v>101.08</v>
      </c>
    </row>
    <row r="191" spans="1:17" x14ac:dyDescent="0.45">
      <c r="A191" s="1">
        <v>44682</v>
      </c>
      <c r="B191">
        <v>2022</v>
      </c>
      <c r="C191">
        <v>8</v>
      </c>
      <c r="D191" t="s">
        <v>17</v>
      </c>
      <c r="E191" s="2">
        <v>7555000</v>
      </c>
      <c r="F191" s="2">
        <v>593736.56000000006</v>
      </c>
      <c r="G191" s="2">
        <v>332720.17</v>
      </c>
      <c r="H191" s="2">
        <v>241689.88</v>
      </c>
      <c r="I191" s="2">
        <v>34742.58</v>
      </c>
      <c r="J191">
        <v>45</v>
      </c>
      <c r="K191">
        <v>2</v>
      </c>
      <c r="L191">
        <v>37</v>
      </c>
      <c r="M191">
        <v>1</v>
      </c>
      <c r="N191">
        <v>21</v>
      </c>
      <c r="O191" s="2">
        <v>39985.67</v>
      </c>
      <c r="P191" s="2">
        <v>111.9</v>
      </c>
      <c r="Q191" s="2">
        <v>105.51</v>
      </c>
    </row>
    <row r="192" spans="1:17" x14ac:dyDescent="0.45">
      <c r="A192" s="1">
        <v>44743</v>
      </c>
      <c r="B192">
        <v>2022</v>
      </c>
      <c r="C192">
        <v>10</v>
      </c>
      <c r="D192" t="s">
        <v>23</v>
      </c>
      <c r="E192" s="2">
        <v>19665000</v>
      </c>
      <c r="F192" s="2">
        <v>1446201.72</v>
      </c>
      <c r="G192" s="2">
        <v>729721.87</v>
      </c>
      <c r="H192" s="2">
        <v>611735.89</v>
      </c>
      <c r="I192" s="2">
        <v>33395.39</v>
      </c>
      <c r="J192">
        <v>95</v>
      </c>
      <c r="K192">
        <v>8</v>
      </c>
      <c r="L192">
        <v>389</v>
      </c>
      <c r="M192">
        <v>5</v>
      </c>
      <c r="N192">
        <v>21</v>
      </c>
      <c r="O192" s="2">
        <v>265752.46999999997</v>
      </c>
      <c r="P192" s="2">
        <v>111.16</v>
      </c>
      <c r="Q192" s="2">
        <v>105.74</v>
      </c>
    </row>
    <row r="193" spans="1:17" x14ac:dyDescent="0.45">
      <c r="A193" s="1">
        <v>45597</v>
      </c>
      <c r="B193">
        <v>2025</v>
      </c>
      <c r="C193">
        <v>2</v>
      </c>
      <c r="D193" t="s">
        <v>24</v>
      </c>
      <c r="E193" s="2">
        <v>15492000</v>
      </c>
      <c r="F193" s="2">
        <v>1206732.3899999999</v>
      </c>
      <c r="G193" s="2">
        <v>642356.84</v>
      </c>
      <c r="H193" s="2">
        <v>577676.89</v>
      </c>
      <c r="I193" s="2">
        <v>49886.03</v>
      </c>
      <c r="J193">
        <v>79</v>
      </c>
      <c r="K193">
        <v>4</v>
      </c>
      <c r="L193">
        <v>89</v>
      </c>
      <c r="M193">
        <v>5</v>
      </c>
      <c r="N193">
        <v>23</v>
      </c>
      <c r="O193" s="2">
        <v>170829.88</v>
      </c>
      <c r="P193" s="2">
        <v>106.7</v>
      </c>
      <c r="Q193" s="2">
        <v>115.37</v>
      </c>
    </row>
    <row r="194" spans="1:17" x14ac:dyDescent="0.45">
      <c r="A194" s="1">
        <v>45870</v>
      </c>
      <c r="B194">
        <v>2025</v>
      </c>
      <c r="C194">
        <v>11</v>
      </c>
      <c r="D194" t="s">
        <v>17</v>
      </c>
      <c r="E194" s="2">
        <v>8377000</v>
      </c>
      <c r="F194" s="2">
        <v>646111.49</v>
      </c>
      <c r="G194" s="2">
        <v>352454.73</v>
      </c>
      <c r="H194" s="2">
        <v>269761.57</v>
      </c>
      <c r="I194" s="2">
        <v>44977.34</v>
      </c>
      <c r="J194">
        <v>43</v>
      </c>
      <c r="K194">
        <v>7</v>
      </c>
      <c r="L194">
        <v>37</v>
      </c>
      <c r="M194">
        <v>3</v>
      </c>
      <c r="N194">
        <v>20</v>
      </c>
      <c r="O194" s="2">
        <v>84256.97</v>
      </c>
      <c r="P194" s="2">
        <v>115.5</v>
      </c>
      <c r="Q194" s="2">
        <v>118.63</v>
      </c>
    </row>
    <row r="195" spans="1:17" x14ac:dyDescent="0.45">
      <c r="A195" s="1">
        <v>44531</v>
      </c>
      <c r="B195">
        <v>2022</v>
      </c>
      <c r="C195">
        <v>3</v>
      </c>
      <c r="D195" t="s">
        <v>18</v>
      </c>
      <c r="E195" s="2">
        <v>3622000</v>
      </c>
      <c r="F195" s="2">
        <v>330351.73</v>
      </c>
      <c r="G195" s="2">
        <v>251753.58</v>
      </c>
      <c r="H195" s="2">
        <v>51013.3</v>
      </c>
      <c r="I195" s="2">
        <v>30676</v>
      </c>
      <c r="J195">
        <v>26</v>
      </c>
      <c r="K195">
        <v>6</v>
      </c>
      <c r="L195">
        <v>41</v>
      </c>
      <c r="M195">
        <v>0</v>
      </c>
      <c r="N195">
        <v>7</v>
      </c>
      <c r="O195" s="2">
        <v>4181.01</v>
      </c>
      <c r="P195" s="2">
        <v>111.86</v>
      </c>
      <c r="Q195" s="2">
        <v>103.64</v>
      </c>
    </row>
    <row r="196" spans="1:17" x14ac:dyDescent="0.45">
      <c r="A196" s="1">
        <v>44958</v>
      </c>
      <c r="B196">
        <v>2023</v>
      </c>
      <c r="C196">
        <v>5</v>
      </c>
      <c r="D196" t="s">
        <v>16</v>
      </c>
      <c r="E196" s="2">
        <v>6642000</v>
      </c>
      <c r="F196" s="2">
        <v>506840.22</v>
      </c>
      <c r="G196" s="2">
        <v>277191.69</v>
      </c>
      <c r="H196" s="2">
        <v>195046.96</v>
      </c>
      <c r="I196" s="2">
        <v>36054.03</v>
      </c>
      <c r="J196">
        <v>31</v>
      </c>
      <c r="K196">
        <v>3</v>
      </c>
      <c r="L196">
        <v>53</v>
      </c>
      <c r="M196">
        <v>4</v>
      </c>
      <c r="N196">
        <v>28</v>
      </c>
      <c r="O196" s="2">
        <v>56943.83</v>
      </c>
      <c r="P196" s="2">
        <v>106.8</v>
      </c>
      <c r="Q196" s="2">
        <v>107.8</v>
      </c>
    </row>
    <row r="197" spans="1:17" x14ac:dyDescent="0.45">
      <c r="A197" s="1">
        <v>44621</v>
      </c>
      <c r="B197">
        <v>2022</v>
      </c>
      <c r="C197">
        <v>6</v>
      </c>
      <c r="D197" t="s">
        <v>17</v>
      </c>
      <c r="E197" s="2">
        <v>7555000</v>
      </c>
      <c r="F197" s="2">
        <v>578548.59</v>
      </c>
      <c r="G197" s="2">
        <v>339682.44</v>
      </c>
      <c r="H197" s="2">
        <v>240255.5</v>
      </c>
      <c r="I197" s="2">
        <v>26905.119999999999</v>
      </c>
      <c r="J197">
        <v>45</v>
      </c>
      <c r="K197">
        <v>3</v>
      </c>
      <c r="L197">
        <v>99</v>
      </c>
      <c r="M197">
        <v>0</v>
      </c>
      <c r="N197">
        <v>13</v>
      </c>
      <c r="O197" s="2">
        <v>13261.24</v>
      </c>
      <c r="P197" s="2">
        <v>109.56</v>
      </c>
      <c r="Q197" s="2">
        <v>104.57</v>
      </c>
    </row>
    <row r="198" spans="1:17" x14ac:dyDescent="0.45">
      <c r="A198" s="1">
        <v>45627</v>
      </c>
      <c r="B198">
        <v>2025</v>
      </c>
      <c r="C198">
        <v>3</v>
      </c>
      <c r="D198" t="s">
        <v>25</v>
      </c>
      <c r="E198" s="2">
        <v>4820000</v>
      </c>
      <c r="F198" s="2">
        <v>429640.37</v>
      </c>
      <c r="G198" s="2">
        <v>334578.15999999997</v>
      </c>
      <c r="H198" s="2">
        <v>86528.71</v>
      </c>
      <c r="I198" s="2">
        <v>7779.84</v>
      </c>
      <c r="J198">
        <v>33</v>
      </c>
      <c r="K198">
        <v>0</v>
      </c>
      <c r="L198">
        <v>19</v>
      </c>
      <c r="M198">
        <v>2</v>
      </c>
      <c r="N198">
        <v>14</v>
      </c>
      <c r="O198" s="2">
        <v>31718.35</v>
      </c>
      <c r="P198" s="2">
        <v>105.2</v>
      </c>
      <c r="Q198" s="2">
        <v>114.47</v>
      </c>
    </row>
    <row r="199" spans="1:17" x14ac:dyDescent="0.45">
      <c r="A199" s="1">
        <v>45261</v>
      </c>
      <c r="B199">
        <v>2024</v>
      </c>
      <c r="C199">
        <v>3</v>
      </c>
      <c r="D199" t="s">
        <v>19</v>
      </c>
      <c r="E199" s="2">
        <v>5322000</v>
      </c>
      <c r="F199" s="2">
        <v>489170.32</v>
      </c>
      <c r="G199" s="2">
        <v>386082.78</v>
      </c>
      <c r="H199" s="2">
        <v>82243.55</v>
      </c>
      <c r="I199" s="2">
        <v>9139.09</v>
      </c>
      <c r="J199">
        <v>37</v>
      </c>
      <c r="K199">
        <v>3</v>
      </c>
      <c r="L199">
        <v>44</v>
      </c>
      <c r="M199">
        <v>0</v>
      </c>
      <c r="N199">
        <v>15</v>
      </c>
      <c r="O199" s="2">
        <v>10164.129999999999</v>
      </c>
      <c r="P199" s="2">
        <v>99.6</v>
      </c>
      <c r="Q199" s="2">
        <v>110.13</v>
      </c>
    </row>
    <row r="200" spans="1:17" x14ac:dyDescent="0.45">
      <c r="A200" s="1">
        <v>45931</v>
      </c>
      <c r="B200">
        <v>2026</v>
      </c>
      <c r="C200">
        <v>1</v>
      </c>
      <c r="D200" t="s">
        <v>18</v>
      </c>
      <c r="E200" s="2">
        <v>4157000</v>
      </c>
      <c r="F200" s="2">
        <v>382435.52</v>
      </c>
      <c r="G200" s="2">
        <v>323139.84000000003</v>
      </c>
      <c r="H200" s="2">
        <v>52214.12</v>
      </c>
      <c r="I200" s="2">
        <v>3639.91</v>
      </c>
      <c r="J200">
        <v>28</v>
      </c>
      <c r="K200">
        <v>1</v>
      </c>
      <c r="L200">
        <v>91</v>
      </c>
      <c r="M200">
        <v>0</v>
      </c>
      <c r="N200">
        <v>9</v>
      </c>
      <c r="O200" s="2">
        <v>6463.79</v>
      </c>
      <c r="P200" s="2">
        <v>117.39</v>
      </c>
      <c r="Q200" s="2">
        <v>117.91</v>
      </c>
    </row>
    <row r="201" spans="1:17" x14ac:dyDescent="0.45">
      <c r="A201" s="1">
        <v>45627</v>
      </c>
      <c r="B201">
        <v>2025</v>
      </c>
      <c r="C201">
        <v>3</v>
      </c>
      <c r="D201" t="s">
        <v>19</v>
      </c>
      <c r="E201" s="2">
        <v>5508000</v>
      </c>
      <c r="F201" s="2">
        <v>489009.15</v>
      </c>
      <c r="G201" s="2">
        <v>397403.81</v>
      </c>
      <c r="H201" s="2">
        <v>85632.79</v>
      </c>
      <c r="I201" s="2">
        <v>9388.16</v>
      </c>
      <c r="J201">
        <v>38</v>
      </c>
      <c r="K201">
        <v>9</v>
      </c>
      <c r="L201">
        <v>64</v>
      </c>
      <c r="M201">
        <v>4</v>
      </c>
      <c r="N201">
        <v>11</v>
      </c>
      <c r="O201" s="2">
        <v>48878.64</v>
      </c>
      <c r="P201" s="2">
        <v>108.72</v>
      </c>
      <c r="Q201" s="2">
        <v>114.92</v>
      </c>
    </row>
    <row r="202" spans="1:17" x14ac:dyDescent="0.45">
      <c r="A202" s="1">
        <v>44682</v>
      </c>
      <c r="B202">
        <v>2022</v>
      </c>
      <c r="C202">
        <v>8</v>
      </c>
      <c r="D202" t="s">
        <v>28</v>
      </c>
      <c r="E202" s="2">
        <v>22770000</v>
      </c>
      <c r="F202" s="2">
        <v>1885794.92</v>
      </c>
      <c r="G202" s="2">
        <v>1449302.51</v>
      </c>
      <c r="H202" s="2">
        <v>368165.36</v>
      </c>
      <c r="I202" s="2">
        <v>25010.15</v>
      </c>
      <c r="J202">
        <v>172</v>
      </c>
      <c r="K202">
        <v>13</v>
      </c>
      <c r="L202">
        <v>453</v>
      </c>
      <c r="M202">
        <v>9</v>
      </c>
      <c r="N202">
        <v>30</v>
      </c>
      <c r="O202" s="2">
        <v>588130.12</v>
      </c>
      <c r="P202" s="2">
        <v>108.78</v>
      </c>
      <c r="Q202" s="2">
        <v>104.63</v>
      </c>
    </row>
    <row r="203" spans="1:17" x14ac:dyDescent="0.45">
      <c r="A203" s="1">
        <v>44682</v>
      </c>
      <c r="B203">
        <v>2022</v>
      </c>
      <c r="C203">
        <v>8</v>
      </c>
      <c r="D203" t="s">
        <v>25</v>
      </c>
      <c r="E203" s="2">
        <v>4347000</v>
      </c>
      <c r="F203" s="2">
        <v>387356.63</v>
      </c>
      <c r="G203" s="2">
        <v>314100.19</v>
      </c>
      <c r="H203" s="2">
        <v>58041.43</v>
      </c>
      <c r="I203" s="2">
        <v>18442.400000000001</v>
      </c>
      <c r="J203">
        <v>33</v>
      </c>
      <c r="K203">
        <v>1</v>
      </c>
      <c r="L203">
        <v>54</v>
      </c>
      <c r="M203">
        <v>2</v>
      </c>
      <c r="N203">
        <v>14</v>
      </c>
      <c r="O203" s="2">
        <v>24948.36</v>
      </c>
      <c r="P203" s="2">
        <v>109.77</v>
      </c>
      <c r="Q203" s="2">
        <v>105.53</v>
      </c>
    </row>
    <row r="204" spans="1:17" x14ac:dyDescent="0.45">
      <c r="A204" s="1">
        <v>45200</v>
      </c>
      <c r="B204">
        <v>2024</v>
      </c>
      <c r="C204">
        <v>1</v>
      </c>
      <c r="D204" t="s">
        <v>18</v>
      </c>
      <c r="E204" s="2">
        <v>3881000</v>
      </c>
      <c r="F204" s="2">
        <v>329548.95</v>
      </c>
      <c r="G204" s="2">
        <v>277878.34999999998</v>
      </c>
      <c r="H204" s="2">
        <v>45853.31</v>
      </c>
      <c r="I204" s="2">
        <v>4579.46</v>
      </c>
      <c r="J204">
        <v>28</v>
      </c>
      <c r="K204">
        <v>0</v>
      </c>
      <c r="L204">
        <v>13</v>
      </c>
      <c r="M204">
        <v>0</v>
      </c>
      <c r="N204">
        <v>6</v>
      </c>
      <c r="O204" s="2">
        <v>2932.58</v>
      </c>
      <c r="P204" s="2">
        <v>102.2</v>
      </c>
      <c r="Q204" s="2">
        <v>109.9</v>
      </c>
    </row>
    <row r="205" spans="1:17" x14ac:dyDescent="0.45">
      <c r="A205" s="1">
        <v>45566</v>
      </c>
      <c r="B205">
        <v>2025</v>
      </c>
      <c r="C205">
        <v>1</v>
      </c>
      <c r="D205" t="s">
        <v>25</v>
      </c>
      <c r="E205" s="2">
        <v>4820000</v>
      </c>
      <c r="F205" s="2">
        <v>423856.57</v>
      </c>
      <c r="G205" s="2">
        <v>341172.2</v>
      </c>
      <c r="H205" s="2">
        <v>69863.87</v>
      </c>
      <c r="I205" s="2">
        <v>5408.01</v>
      </c>
      <c r="J205">
        <v>33</v>
      </c>
      <c r="K205">
        <v>4</v>
      </c>
      <c r="L205">
        <v>97</v>
      </c>
      <c r="M205">
        <v>1</v>
      </c>
      <c r="N205">
        <v>12</v>
      </c>
      <c r="O205" s="2">
        <v>22851.17</v>
      </c>
      <c r="P205" s="2">
        <v>103.97</v>
      </c>
      <c r="Q205" s="2">
        <v>114.52</v>
      </c>
    </row>
    <row r="206" spans="1:17" x14ac:dyDescent="0.45">
      <c r="A206" s="1">
        <v>45839</v>
      </c>
      <c r="B206">
        <v>2025</v>
      </c>
      <c r="C206">
        <v>10</v>
      </c>
      <c r="D206" t="s">
        <v>24</v>
      </c>
      <c r="E206" s="2">
        <v>15492000</v>
      </c>
      <c r="F206" s="2">
        <v>1322073.3400000001</v>
      </c>
      <c r="G206" s="2">
        <v>653634.78</v>
      </c>
      <c r="H206" s="2">
        <v>464518.93</v>
      </c>
      <c r="I206" s="2">
        <v>269167.12</v>
      </c>
      <c r="J206">
        <v>82</v>
      </c>
      <c r="K206">
        <v>5</v>
      </c>
      <c r="L206">
        <v>116</v>
      </c>
      <c r="M206">
        <v>5</v>
      </c>
      <c r="N206">
        <v>24</v>
      </c>
      <c r="O206" s="2">
        <v>255358.71</v>
      </c>
      <c r="P206" s="2">
        <v>114.95</v>
      </c>
      <c r="Q206" s="2">
        <v>117.32</v>
      </c>
    </row>
    <row r="207" spans="1:17" x14ac:dyDescent="0.45">
      <c r="A207" s="1">
        <v>45839</v>
      </c>
      <c r="B207">
        <v>2025</v>
      </c>
      <c r="C207">
        <v>10</v>
      </c>
      <c r="D207" t="s">
        <v>25</v>
      </c>
      <c r="E207" s="2">
        <v>4820000</v>
      </c>
      <c r="F207" s="2">
        <v>419952.66</v>
      </c>
      <c r="G207" s="2">
        <v>343126.98</v>
      </c>
      <c r="H207" s="2">
        <v>60935.97</v>
      </c>
      <c r="I207" s="2">
        <v>10798.26</v>
      </c>
      <c r="J207">
        <v>34</v>
      </c>
      <c r="K207">
        <v>4</v>
      </c>
      <c r="L207">
        <v>26</v>
      </c>
      <c r="M207">
        <v>0</v>
      </c>
      <c r="N207">
        <v>11</v>
      </c>
      <c r="O207" s="2">
        <v>8541.18</v>
      </c>
      <c r="P207" s="2">
        <v>117.5</v>
      </c>
      <c r="Q207" s="2">
        <v>117.68</v>
      </c>
    </row>
    <row r="208" spans="1:17" x14ac:dyDescent="0.45">
      <c r="A208" s="1">
        <v>44805</v>
      </c>
      <c r="B208">
        <v>2022</v>
      </c>
      <c r="C208">
        <v>12</v>
      </c>
      <c r="D208" t="s">
        <v>21</v>
      </c>
      <c r="E208" s="2">
        <v>8280000</v>
      </c>
      <c r="F208" s="2">
        <v>714554.92</v>
      </c>
      <c r="G208" s="2">
        <v>452965.51</v>
      </c>
      <c r="H208" s="2">
        <v>217932.18</v>
      </c>
      <c r="I208" s="2">
        <v>29149.599999999999</v>
      </c>
      <c r="J208">
        <v>66</v>
      </c>
      <c r="K208">
        <v>4</v>
      </c>
      <c r="L208">
        <v>52</v>
      </c>
      <c r="M208">
        <v>2</v>
      </c>
      <c r="N208">
        <v>13</v>
      </c>
      <c r="O208" s="2">
        <v>41153.599999999999</v>
      </c>
      <c r="P208" s="2">
        <v>111.94</v>
      </c>
      <c r="Q208" s="2">
        <v>106.73</v>
      </c>
    </row>
    <row r="209" spans="1:17" x14ac:dyDescent="0.45">
      <c r="A209" s="1">
        <v>44531</v>
      </c>
      <c r="B209">
        <v>2022</v>
      </c>
      <c r="C209">
        <v>3</v>
      </c>
      <c r="D209" t="s">
        <v>25</v>
      </c>
      <c r="E209" s="2">
        <v>4347000</v>
      </c>
      <c r="F209" s="2">
        <v>427067.7</v>
      </c>
      <c r="G209" s="2">
        <v>298102.45</v>
      </c>
      <c r="H209" s="2">
        <v>77512.97</v>
      </c>
      <c r="I209" s="2">
        <v>49892.2</v>
      </c>
      <c r="J209">
        <v>32</v>
      </c>
      <c r="K209">
        <v>2</v>
      </c>
      <c r="L209">
        <v>61</v>
      </c>
      <c r="M209">
        <v>0</v>
      </c>
      <c r="N209">
        <v>7</v>
      </c>
      <c r="O209" s="2">
        <v>5273.41</v>
      </c>
      <c r="P209" s="2">
        <v>105.63</v>
      </c>
      <c r="Q209" s="2">
        <v>103.33</v>
      </c>
    </row>
    <row r="210" spans="1:17" x14ac:dyDescent="0.45">
      <c r="A210" s="1">
        <v>45627</v>
      </c>
      <c r="B210">
        <v>2025</v>
      </c>
      <c r="C210">
        <v>3</v>
      </c>
      <c r="D210" t="s">
        <v>18</v>
      </c>
      <c r="E210" s="2">
        <v>4016000</v>
      </c>
      <c r="F210" s="2">
        <v>360571.05</v>
      </c>
      <c r="G210" s="2">
        <v>306911.24</v>
      </c>
      <c r="H210" s="2">
        <v>52834.51</v>
      </c>
      <c r="I210" s="2">
        <v>5008.3999999999996</v>
      </c>
      <c r="J210">
        <v>28</v>
      </c>
      <c r="K210">
        <v>1</v>
      </c>
      <c r="L210">
        <v>45</v>
      </c>
      <c r="M210">
        <v>2</v>
      </c>
      <c r="N210">
        <v>12</v>
      </c>
      <c r="O210" s="2">
        <v>16699.689999999999</v>
      </c>
      <c r="P210" s="2">
        <v>108.85</v>
      </c>
      <c r="Q210" s="2">
        <v>115.91</v>
      </c>
    </row>
    <row r="211" spans="1:17" x14ac:dyDescent="0.45">
      <c r="A211" s="1">
        <v>45108</v>
      </c>
      <c r="B211">
        <v>2023</v>
      </c>
      <c r="C211">
        <v>10</v>
      </c>
      <c r="D211" t="s">
        <v>25</v>
      </c>
      <c r="E211" s="2">
        <v>4499000</v>
      </c>
      <c r="F211" s="2">
        <v>421659.05</v>
      </c>
      <c r="G211" s="2">
        <v>326684.12</v>
      </c>
      <c r="H211" s="2">
        <v>64044.97</v>
      </c>
      <c r="I211" s="2">
        <v>38474.44</v>
      </c>
      <c r="J211">
        <v>34</v>
      </c>
      <c r="K211">
        <v>4</v>
      </c>
      <c r="L211">
        <v>63</v>
      </c>
      <c r="M211">
        <v>0</v>
      </c>
      <c r="N211">
        <v>13</v>
      </c>
      <c r="O211" s="2">
        <v>8826.44</v>
      </c>
      <c r="P211" s="2">
        <v>104.72</v>
      </c>
      <c r="Q211" s="2">
        <v>109.82</v>
      </c>
    </row>
    <row r="212" spans="1:17" x14ac:dyDescent="0.45">
      <c r="A212" s="1">
        <v>44317</v>
      </c>
      <c r="B212">
        <v>2021</v>
      </c>
      <c r="C212">
        <v>8</v>
      </c>
      <c r="D212" t="s">
        <v>18</v>
      </c>
      <c r="E212" s="2">
        <v>3500000</v>
      </c>
      <c r="F212" s="2">
        <v>287446.48</v>
      </c>
      <c r="G212" s="2">
        <v>236934.25</v>
      </c>
      <c r="H212" s="2">
        <v>41190</v>
      </c>
      <c r="I212" s="2">
        <v>3708.81</v>
      </c>
      <c r="J212">
        <v>27</v>
      </c>
      <c r="K212">
        <v>3</v>
      </c>
      <c r="L212">
        <v>35</v>
      </c>
      <c r="M212">
        <v>2</v>
      </c>
      <c r="N212">
        <v>10</v>
      </c>
      <c r="O212" s="2">
        <v>17095.8</v>
      </c>
      <c r="P212" s="2">
        <v>103.06</v>
      </c>
      <c r="Q212" s="2">
        <v>99.63</v>
      </c>
    </row>
    <row r="213" spans="1:17" x14ac:dyDescent="0.45">
      <c r="A213" s="1">
        <v>45474</v>
      </c>
      <c r="B213">
        <v>2024</v>
      </c>
      <c r="C213">
        <v>10</v>
      </c>
      <c r="D213" t="s">
        <v>17</v>
      </c>
      <c r="E213" s="2">
        <v>8094000</v>
      </c>
      <c r="F213" s="2">
        <v>668317.22</v>
      </c>
      <c r="G213" s="2">
        <v>365356.19</v>
      </c>
      <c r="H213" s="2">
        <v>288121.27</v>
      </c>
      <c r="I213" s="2">
        <v>27765.95</v>
      </c>
      <c r="J213">
        <v>44</v>
      </c>
      <c r="K213">
        <v>6</v>
      </c>
      <c r="L213">
        <v>95</v>
      </c>
      <c r="M213">
        <v>3</v>
      </c>
      <c r="N213">
        <v>19</v>
      </c>
      <c r="O213" s="2">
        <v>78582.38</v>
      </c>
      <c r="P213" s="2">
        <v>101.73</v>
      </c>
      <c r="Q213" s="2">
        <v>113.5</v>
      </c>
    </row>
    <row r="214" spans="1:17" x14ac:dyDescent="0.45">
      <c r="A214" s="1">
        <v>44348</v>
      </c>
      <c r="B214">
        <v>2021</v>
      </c>
      <c r="C214">
        <v>9</v>
      </c>
      <c r="D214" t="s">
        <v>26</v>
      </c>
      <c r="E214" s="2">
        <v>8000000</v>
      </c>
      <c r="F214" s="2">
        <v>715950.73</v>
      </c>
      <c r="G214" s="2">
        <v>410497.28000000003</v>
      </c>
      <c r="H214" s="2">
        <v>223998.55</v>
      </c>
      <c r="I214" s="2">
        <v>34809.269999999997</v>
      </c>
      <c r="J214">
        <v>62</v>
      </c>
      <c r="K214">
        <v>6</v>
      </c>
      <c r="L214">
        <v>119</v>
      </c>
      <c r="M214">
        <v>2</v>
      </c>
      <c r="N214">
        <v>15</v>
      </c>
      <c r="O214" s="2">
        <v>38226.99</v>
      </c>
      <c r="P214" s="2">
        <v>106.63</v>
      </c>
      <c r="Q214" s="2">
        <v>101.8</v>
      </c>
    </row>
    <row r="215" spans="1:17" x14ac:dyDescent="0.45">
      <c r="A215" s="1">
        <v>45566</v>
      </c>
      <c r="B215">
        <v>2025</v>
      </c>
      <c r="C215">
        <v>1</v>
      </c>
      <c r="D215" t="s">
        <v>24</v>
      </c>
      <c r="E215" s="2">
        <v>15492000</v>
      </c>
      <c r="F215" s="2">
        <v>1264418</v>
      </c>
      <c r="G215" s="2">
        <v>639619.5</v>
      </c>
      <c r="H215" s="2">
        <v>532906.77</v>
      </c>
      <c r="I215" s="2">
        <v>94230.63</v>
      </c>
      <c r="J215">
        <v>80</v>
      </c>
      <c r="K215">
        <v>6</v>
      </c>
      <c r="L215">
        <v>121</v>
      </c>
      <c r="M215">
        <v>3</v>
      </c>
      <c r="N215">
        <v>17</v>
      </c>
      <c r="O215" s="2">
        <v>114967.08</v>
      </c>
      <c r="P215" s="2">
        <v>102.31</v>
      </c>
      <c r="Q215" s="2">
        <v>114.12</v>
      </c>
    </row>
    <row r="216" spans="1:17" x14ac:dyDescent="0.45">
      <c r="A216" s="1">
        <v>44958</v>
      </c>
      <c r="B216">
        <v>2023</v>
      </c>
      <c r="C216">
        <v>5</v>
      </c>
      <c r="D216" t="s">
        <v>27</v>
      </c>
      <c r="E216" s="2">
        <v>26781000</v>
      </c>
      <c r="F216" s="2">
        <v>2317518.9300000002</v>
      </c>
      <c r="G216" s="2">
        <v>1784236.79</v>
      </c>
      <c r="H216" s="2">
        <v>486548.42</v>
      </c>
      <c r="I216" s="2">
        <v>34070.9</v>
      </c>
      <c r="J216">
        <v>203</v>
      </c>
      <c r="K216">
        <v>19</v>
      </c>
      <c r="L216">
        <v>973</v>
      </c>
      <c r="M216">
        <v>6</v>
      </c>
      <c r="N216">
        <v>35</v>
      </c>
      <c r="O216" s="2">
        <v>399446.22</v>
      </c>
      <c r="P216" s="2">
        <v>105.88</v>
      </c>
      <c r="Q216" s="2">
        <v>107.64</v>
      </c>
    </row>
    <row r="217" spans="1:17" x14ac:dyDescent="0.45">
      <c r="A217" s="1">
        <v>44652</v>
      </c>
      <c r="B217">
        <v>2022</v>
      </c>
      <c r="C217">
        <v>7</v>
      </c>
      <c r="D217" t="s">
        <v>24</v>
      </c>
      <c r="E217" s="2">
        <v>13972000</v>
      </c>
      <c r="F217" s="2">
        <v>1047732.28</v>
      </c>
      <c r="G217" s="2">
        <v>520432.24</v>
      </c>
      <c r="H217" s="2">
        <v>483552.76</v>
      </c>
      <c r="I217" s="2">
        <v>49531.34</v>
      </c>
      <c r="J217">
        <v>76</v>
      </c>
      <c r="K217">
        <v>7</v>
      </c>
      <c r="L217">
        <v>104</v>
      </c>
      <c r="M217">
        <v>3</v>
      </c>
      <c r="N217">
        <v>20</v>
      </c>
      <c r="O217" s="2">
        <v>143074.03</v>
      </c>
      <c r="P217" s="2">
        <v>114.86</v>
      </c>
      <c r="Q217" s="2">
        <v>104.83</v>
      </c>
    </row>
    <row r="218" spans="1:17" x14ac:dyDescent="0.45">
      <c r="A218" s="1">
        <v>45383</v>
      </c>
      <c r="B218">
        <v>2024</v>
      </c>
      <c r="C218">
        <v>7</v>
      </c>
      <c r="D218" t="s">
        <v>25</v>
      </c>
      <c r="E218" s="2">
        <v>4657000</v>
      </c>
      <c r="F218" s="2">
        <v>404406.65</v>
      </c>
      <c r="G218" s="2">
        <v>329686.03000000003</v>
      </c>
      <c r="H218" s="2">
        <v>63619.16</v>
      </c>
      <c r="I218" s="2">
        <v>8771.7099999999991</v>
      </c>
      <c r="J218">
        <v>34</v>
      </c>
      <c r="K218">
        <v>5</v>
      </c>
      <c r="L218">
        <v>50</v>
      </c>
      <c r="M218">
        <v>0</v>
      </c>
      <c r="N218">
        <v>12</v>
      </c>
      <c r="O218" s="2">
        <v>6910.86</v>
      </c>
      <c r="P218" s="2">
        <v>100.08</v>
      </c>
      <c r="Q218" s="2">
        <v>112.31</v>
      </c>
    </row>
    <row r="219" spans="1:17" x14ac:dyDescent="0.45">
      <c r="A219" s="1">
        <v>45931</v>
      </c>
      <c r="B219">
        <v>2026</v>
      </c>
      <c r="C219">
        <v>1</v>
      </c>
      <c r="D219" t="s">
        <v>21</v>
      </c>
      <c r="E219" s="2">
        <v>9501000</v>
      </c>
      <c r="F219" s="2">
        <v>797553.43</v>
      </c>
      <c r="G219" s="2">
        <v>518000.01</v>
      </c>
      <c r="H219" s="2">
        <v>252316.14</v>
      </c>
      <c r="I219" s="2">
        <v>39650.53</v>
      </c>
      <c r="J219">
        <v>67</v>
      </c>
      <c r="K219">
        <v>5</v>
      </c>
      <c r="L219">
        <v>37</v>
      </c>
      <c r="M219">
        <v>2</v>
      </c>
      <c r="N219">
        <v>15</v>
      </c>
      <c r="O219" s="2">
        <v>62572.83</v>
      </c>
      <c r="P219" s="2">
        <v>123.7</v>
      </c>
      <c r="Q219" s="2">
        <v>118.19</v>
      </c>
    </row>
    <row r="220" spans="1:17" x14ac:dyDescent="0.45">
      <c r="A220" s="1">
        <v>45017</v>
      </c>
      <c r="B220">
        <v>2023</v>
      </c>
      <c r="C220">
        <v>7</v>
      </c>
      <c r="D220" t="s">
        <v>17</v>
      </c>
      <c r="E220" s="2">
        <v>7820000</v>
      </c>
      <c r="F220" s="2">
        <v>611942.48</v>
      </c>
      <c r="G220" s="2">
        <v>331395.95</v>
      </c>
      <c r="H220" s="2">
        <v>236576.3</v>
      </c>
      <c r="I220" s="2">
        <v>24903.63</v>
      </c>
      <c r="J220">
        <v>44</v>
      </c>
      <c r="K220">
        <v>3</v>
      </c>
      <c r="L220">
        <v>64</v>
      </c>
      <c r="M220">
        <v>1</v>
      </c>
      <c r="N220">
        <v>13</v>
      </c>
      <c r="O220" s="2">
        <v>26514.37</v>
      </c>
      <c r="P220" s="2">
        <v>107.48</v>
      </c>
      <c r="Q220" s="2">
        <v>109.08</v>
      </c>
    </row>
    <row r="221" spans="1:17" x14ac:dyDescent="0.45">
      <c r="A221" s="1">
        <v>44682</v>
      </c>
      <c r="B221">
        <v>2022</v>
      </c>
      <c r="C221">
        <v>8</v>
      </c>
      <c r="D221" t="s">
        <v>27</v>
      </c>
      <c r="E221" s="2">
        <v>25875000</v>
      </c>
      <c r="F221" s="2">
        <v>2048506.82</v>
      </c>
      <c r="G221" s="2">
        <v>1683922.56</v>
      </c>
      <c r="H221" s="2">
        <v>420829.66</v>
      </c>
      <c r="I221" s="2">
        <v>27546.38</v>
      </c>
      <c r="J221">
        <v>208</v>
      </c>
      <c r="K221">
        <v>13</v>
      </c>
      <c r="L221">
        <v>1112</v>
      </c>
      <c r="M221">
        <v>9</v>
      </c>
      <c r="N221">
        <v>34</v>
      </c>
      <c r="O221" s="2">
        <v>586565.41</v>
      </c>
      <c r="P221" s="2">
        <v>109.32</v>
      </c>
      <c r="Q221" s="2">
        <v>104.37</v>
      </c>
    </row>
    <row r="222" spans="1:17" x14ac:dyDescent="0.45">
      <c r="A222" s="1">
        <v>45413</v>
      </c>
      <c r="B222">
        <v>2024</v>
      </c>
      <c r="C222">
        <v>8</v>
      </c>
      <c r="D222" t="s">
        <v>27</v>
      </c>
      <c r="E222" s="2">
        <v>27718000</v>
      </c>
      <c r="F222" s="2">
        <v>2434793.17</v>
      </c>
      <c r="G222" s="2">
        <v>1875855.6</v>
      </c>
      <c r="H222" s="2">
        <v>452328.76</v>
      </c>
      <c r="I222" s="2">
        <v>84806.99</v>
      </c>
      <c r="J222">
        <v>214</v>
      </c>
      <c r="K222">
        <v>15</v>
      </c>
      <c r="L222">
        <v>1074</v>
      </c>
      <c r="M222">
        <v>8</v>
      </c>
      <c r="N222">
        <v>33</v>
      </c>
      <c r="O222" s="2">
        <v>705006.51</v>
      </c>
      <c r="P222" s="2">
        <v>100.24</v>
      </c>
      <c r="Q222" s="2">
        <v>113.52</v>
      </c>
    </row>
    <row r="223" spans="1:17" x14ac:dyDescent="0.45">
      <c r="A223" s="1">
        <v>45352</v>
      </c>
      <c r="B223">
        <v>2024</v>
      </c>
      <c r="C223">
        <v>6</v>
      </c>
      <c r="D223" t="s">
        <v>27</v>
      </c>
      <c r="E223" s="2">
        <v>27718000</v>
      </c>
      <c r="F223" s="2">
        <v>2427902.0699999998</v>
      </c>
      <c r="G223" s="2">
        <v>1857543.4</v>
      </c>
      <c r="H223" s="2">
        <v>507750.14</v>
      </c>
      <c r="I223" s="2">
        <v>92380.44</v>
      </c>
      <c r="J223">
        <v>209</v>
      </c>
      <c r="K223">
        <v>15</v>
      </c>
      <c r="L223">
        <v>862</v>
      </c>
      <c r="M223">
        <v>7</v>
      </c>
      <c r="N223">
        <v>30</v>
      </c>
      <c r="O223" s="2">
        <v>513732.86</v>
      </c>
      <c r="P223" s="2">
        <v>101.94</v>
      </c>
      <c r="Q223" s="2">
        <v>111</v>
      </c>
    </row>
    <row r="224" spans="1:17" x14ac:dyDescent="0.45">
      <c r="A224" s="1">
        <v>44927</v>
      </c>
      <c r="B224">
        <v>2023</v>
      </c>
      <c r="C224">
        <v>4</v>
      </c>
      <c r="D224" t="s">
        <v>17</v>
      </c>
      <c r="E224" s="2">
        <v>7820000</v>
      </c>
      <c r="F224" s="2">
        <v>620694.73</v>
      </c>
      <c r="G224" s="2">
        <v>329659.63</v>
      </c>
      <c r="H224" s="2">
        <v>263533.84999999998</v>
      </c>
      <c r="I224" s="2">
        <v>30493.8</v>
      </c>
      <c r="J224">
        <v>42</v>
      </c>
      <c r="K224">
        <v>3</v>
      </c>
      <c r="L224">
        <v>48</v>
      </c>
      <c r="M224">
        <v>1</v>
      </c>
      <c r="N224">
        <v>14</v>
      </c>
      <c r="O224" s="2">
        <v>40306.300000000003</v>
      </c>
      <c r="P224" s="2">
        <v>106.81</v>
      </c>
      <c r="Q224" s="2">
        <v>107.03</v>
      </c>
    </row>
    <row r="225" spans="1:17" x14ac:dyDescent="0.45">
      <c r="A225" s="1">
        <v>44958</v>
      </c>
      <c r="B225">
        <v>2023</v>
      </c>
      <c r="C225">
        <v>5</v>
      </c>
      <c r="D225" t="s">
        <v>24</v>
      </c>
      <c r="E225" s="2">
        <v>14462000</v>
      </c>
      <c r="F225" s="2">
        <v>1214575.24</v>
      </c>
      <c r="G225" s="2">
        <v>589637.19999999995</v>
      </c>
      <c r="H225" s="2">
        <v>518637.02</v>
      </c>
      <c r="I225" s="2">
        <v>63034.73</v>
      </c>
      <c r="J225">
        <v>79</v>
      </c>
      <c r="K225">
        <v>3</v>
      </c>
      <c r="L225">
        <v>129</v>
      </c>
      <c r="M225">
        <v>8</v>
      </c>
      <c r="N225">
        <v>32</v>
      </c>
      <c r="O225" s="2">
        <v>266826.19</v>
      </c>
      <c r="P225" s="2">
        <v>107.78</v>
      </c>
      <c r="Q225" s="2">
        <v>107.99</v>
      </c>
    </row>
    <row r="226" spans="1:17" x14ac:dyDescent="0.45">
      <c r="A226" s="1">
        <v>44986</v>
      </c>
      <c r="B226">
        <v>2023</v>
      </c>
      <c r="C226">
        <v>6</v>
      </c>
      <c r="D226" t="s">
        <v>21</v>
      </c>
      <c r="E226" s="2">
        <v>8570000</v>
      </c>
      <c r="F226" s="2">
        <v>697923.33</v>
      </c>
      <c r="G226" s="2">
        <v>455348.86</v>
      </c>
      <c r="H226" s="2">
        <v>234017.8</v>
      </c>
      <c r="I226" s="2">
        <v>18346.41</v>
      </c>
      <c r="J226">
        <v>66</v>
      </c>
      <c r="K226">
        <v>7</v>
      </c>
      <c r="L226">
        <v>71</v>
      </c>
      <c r="M226">
        <v>2</v>
      </c>
      <c r="N226">
        <v>14</v>
      </c>
      <c r="O226" s="2">
        <v>42590.37</v>
      </c>
      <c r="P226" s="2">
        <v>105.05</v>
      </c>
      <c r="Q226" s="2">
        <v>108.17</v>
      </c>
    </row>
    <row r="227" spans="1:17" x14ac:dyDescent="0.45">
      <c r="A227" s="1">
        <v>45778</v>
      </c>
      <c r="B227">
        <v>2025</v>
      </c>
      <c r="C227">
        <v>8</v>
      </c>
      <c r="D227" t="s">
        <v>23</v>
      </c>
      <c r="E227" s="2">
        <v>21803000</v>
      </c>
      <c r="F227" s="2">
        <v>1973538.07</v>
      </c>
      <c r="G227" s="2">
        <v>895389.03</v>
      </c>
      <c r="H227" s="2">
        <v>820019.57</v>
      </c>
      <c r="I227" s="2">
        <v>148365.56</v>
      </c>
      <c r="J227">
        <v>101</v>
      </c>
      <c r="K227">
        <v>10</v>
      </c>
      <c r="L227">
        <v>457</v>
      </c>
      <c r="M227">
        <v>6</v>
      </c>
      <c r="N227">
        <v>31</v>
      </c>
      <c r="O227" s="2">
        <v>357466.09</v>
      </c>
      <c r="P227" s="2">
        <v>113.58</v>
      </c>
      <c r="Q227" s="2">
        <v>116.2</v>
      </c>
    </row>
    <row r="228" spans="1:17" x14ac:dyDescent="0.45">
      <c r="A228" s="1">
        <v>45170</v>
      </c>
      <c r="B228">
        <v>2023</v>
      </c>
      <c r="C228">
        <v>12</v>
      </c>
      <c r="D228" t="s">
        <v>22</v>
      </c>
      <c r="E228" s="2">
        <v>6642000</v>
      </c>
      <c r="F228" s="2">
        <v>553495.91</v>
      </c>
      <c r="G228" s="2">
        <v>271573.93</v>
      </c>
      <c r="H228" s="2">
        <v>249973.57</v>
      </c>
      <c r="I228" s="2">
        <v>25827.68</v>
      </c>
      <c r="J228">
        <v>30</v>
      </c>
      <c r="K228">
        <v>0</v>
      </c>
      <c r="L228">
        <v>30</v>
      </c>
      <c r="M228">
        <v>0</v>
      </c>
      <c r="N228">
        <v>10</v>
      </c>
      <c r="O228" s="2">
        <v>13142.8</v>
      </c>
      <c r="P228" s="2">
        <v>102.05</v>
      </c>
      <c r="Q228" s="2">
        <v>109.42</v>
      </c>
    </row>
    <row r="229" spans="1:17" x14ac:dyDescent="0.45">
      <c r="A229" s="1">
        <v>44378</v>
      </c>
      <c r="B229">
        <v>2021</v>
      </c>
      <c r="C229">
        <v>10</v>
      </c>
      <c r="D229" t="s">
        <v>22</v>
      </c>
      <c r="E229" s="2">
        <v>6200000</v>
      </c>
      <c r="F229" s="2">
        <v>545000.27</v>
      </c>
      <c r="G229" s="2">
        <v>247549.32</v>
      </c>
      <c r="H229" s="2">
        <v>185520.36</v>
      </c>
      <c r="I229" s="2">
        <v>117407.49</v>
      </c>
      <c r="J229">
        <v>30</v>
      </c>
      <c r="K229">
        <v>0</v>
      </c>
      <c r="L229">
        <v>20</v>
      </c>
      <c r="M229">
        <v>3</v>
      </c>
      <c r="N229">
        <v>10</v>
      </c>
      <c r="O229" s="2">
        <v>33126.76</v>
      </c>
      <c r="P229" s="2">
        <v>107.67</v>
      </c>
      <c r="Q229" s="2">
        <v>101.32</v>
      </c>
    </row>
    <row r="230" spans="1:17" x14ac:dyDescent="0.45">
      <c r="A230" s="1">
        <v>44621</v>
      </c>
      <c r="B230">
        <v>2022</v>
      </c>
      <c r="C230">
        <v>6</v>
      </c>
      <c r="D230" t="s">
        <v>21</v>
      </c>
      <c r="E230" s="2">
        <v>8280000</v>
      </c>
      <c r="F230" s="2">
        <v>689746.92</v>
      </c>
      <c r="G230" s="2">
        <v>438705.25</v>
      </c>
      <c r="H230" s="2">
        <v>219761.01</v>
      </c>
      <c r="I230" s="2">
        <v>9728.4</v>
      </c>
      <c r="J230">
        <v>65</v>
      </c>
      <c r="K230">
        <v>6</v>
      </c>
      <c r="L230">
        <v>84</v>
      </c>
      <c r="M230">
        <v>4</v>
      </c>
      <c r="N230">
        <v>16</v>
      </c>
      <c r="O230" s="2">
        <v>77970.75</v>
      </c>
      <c r="P230" s="2">
        <v>112.99</v>
      </c>
      <c r="Q230" s="2">
        <v>104.48</v>
      </c>
    </row>
    <row r="231" spans="1:17" x14ac:dyDescent="0.45">
      <c r="A231" s="1">
        <v>45992</v>
      </c>
      <c r="B231">
        <v>2026</v>
      </c>
      <c r="C231">
        <v>3</v>
      </c>
      <c r="D231" t="s">
        <v>23</v>
      </c>
      <c r="E231" s="2">
        <v>22566000</v>
      </c>
      <c r="F231" s="2">
        <v>2530008.7799999998</v>
      </c>
      <c r="G231" s="2">
        <v>916545.03</v>
      </c>
      <c r="H231" s="2">
        <v>1143135.44</v>
      </c>
      <c r="I231" s="2">
        <v>492605.48</v>
      </c>
      <c r="J231">
        <v>101</v>
      </c>
      <c r="K231">
        <v>8</v>
      </c>
      <c r="L231">
        <v>482</v>
      </c>
      <c r="M231">
        <v>7</v>
      </c>
      <c r="N231">
        <v>32</v>
      </c>
      <c r="O231" s="2">
        <v>319063.53999999998</v>
      </c>
      <c r="P231" s="2">
        <v>123.78</v>
      </c>
      <c r="Q231" s="2">
        <v>118.32</v>
      </c>
    </row>
    <row r="232" spans="1:17" x14ac:dyDescent="0.45">
      <c r="A232" s="1">
        <v>44774</v>
      </c>
      <c r="B232">
        <v>2022</v>
      </c>
      <c r="C232">
        <v>11</v>
      </c>
      <c r="D232" t="s">
        <v>25</v>
      </c>
      <c r="E232" s="2">
        <v>4347000</v>
      </c>
      <c r="F232" s="2">
        <v>366026.96</v>
      </c>
      <c r="G232" s="2">
        <v>307189.64</v>
      </c>
      <c r="H232" s="2">
        <v>59767.48</v>
      </c>
      <c r="I232" s="2">
        <v>4710.37</v>
      </c>
      <c r="J232">
        <v>33</v>
      </c>
      <c r="K232">
        <v>0</v>
      </c>
      <c r="L232">
        <v>48</v>
      </c>
      <c r="M232">
        <v>2</v>
      </c>
      <c r="N232">
        <v>15</v>
      </c>
      <c r="O232" s="2">
        <v>23333.52</v>
      </c>
      <c r="P232" s="2">
        <v>111.49</v>
      </c>
      <c r="Q232" s="2">
        <v>106.48</v>
      </c>
    </row>
    <row r="233" spans="1:17" x14ac:dyDescent="0.45">
      <c r="A233" s="1">
        <v>45108</v>
      </c>
      <c r="B233">
        <v>2023</v>
      </c>
      <c r="C233">
        <v>10</v>
      </c>
      <c r="D233" t="s">
        <v>23</v>
      </c>
      <c r="E233" s="2">
        <v>20353000</v>
      </c>
      <c r="F233" s="2">
        <v>1487140.5</v>
      </c>
      <c r="G233" s="2">
        <v>770234</v>
      </c>
      <c r="H233" s="2">
        <v>677557.38</v>
      </c>
      <c r="I233" s="2">
        <v>114667.39</v>
      </c>
      <c r="J233">
        <v>94</v>
      </c>
      <c r="K233">
        <v>8</v>
      </c>
      <c r="L233">
        <v>415</v>
      </c>
      <c r="M233">
        <v>8</v>
      </c>
      <c r="N233">
        <v>31</v>
      </c>
      <c r="O233" s="2">
        <v>502580.47</v>
      </c>
      <c r="P233" s="2">
        <v>102.06</v>
      </c>
      <c r="Q233" s="2">
        <v>108.88</v>
      </c>
    </row>
    <row r="234" spans="1:17" x14ac:dyDescent="0.45">
      <c r="A234" s="1">
        <v>45931</v>
      </c>
      <c r="B234">
        <v>2026</v>
      </c>
      <c r="C234">
        <v>1</v>
      </c>
      <c r="D234" t="s">
        <v>25</v>
      </c>
      <c r="E234" s="2">
        <v>4988000</v>
      </c>
      <c r="F234" s="2">
        <v>443722.13</v>
      </c>
      <c r="G234" s="2">
        <v>356383.04</v>
      </c>
      <c r="H234" s="2">
        <v>76786.89</v>
      </c>
      <c r="I234" s="2">
        <v>6372.7</v>
      </c>
      <c r="J234">
        <v>34</v>
      </c>
      <c r="K234">
        <v>0</v>
      </c>
      <c r="L234">
        <v>58</v>
      </c>
      <c r="M234">
        <v>4</v>
      </c>
      <c r="N234">
        <v>16</v>
      </c>
      <c r="O234" s="2">
        <v>50793.279999999999</v>
      </c>
      <c r="P234" s="2">
        <v>119.6</v>
      </c>
      <c r="Q234" s="2">
        <v>117.39</v>
      </c>
    </row>
    <row r="235" spans="1:17" x14ac:dyDescent="0.45">
      <c r="A235" s="1">
        <v>45292</v>
      </c>
      <c r="B235">
        <v>2024</v>
      </c>
      <c r="C235">
        <v>4</v>
      </c>
      <c r="D235" t="s">
        <v>21</v>
      </c>
      <c r="E235" s="2">
        <v>8870000</v>
      </c>
      <c r="F235" s="2">
        <v>752996.57</v>
      </c>
      <c r="G235" s="2">
        <v>506398.22</v>
      </c>
      <c r="H235" s="2">
        <v>209758.51</v>
      </c>
      <c r="I235" s="2">
        <v>39986.199999999997</v>
      </c>
      <c r="J235">
        <v>68</v>
      </c>
      <c r="K235">
        <v>7</v>
      </c>
      <c r="L235">
        <v>59</v>
      </c>
      <c r="M235">
        <v>3</v>
      </c>
      <c r="N235">
        <v>15</v>
      </c>
      <c r="O235" s="2">
        <v>67526.53</v>
      </c>
      <c r="P235" s="2">
        <v>100.05</v>
      </c>
      <c r="Q235" s="2">
        <v>110.4</v>
      </c>
    </row>
    <row r="236" spans="1:17" x14ac:dyDescent="0.45">
      <c r="A236" s="1">
        <v>45170</v>
      </c>
      <c r="B236">
        <v>2023</v>
      </c>
      <c r="C236">
        <v>12</v>
      </c>
      <c r="D236" t="s">
        <v>17</v>
      </c>
      <c r="E236" s="2">
        <v>7820000</v>
      </c>
      <c r="F236" s="2">
        <v>657079.14</v>
      </c>
      <c r="G236" s="2">
        <v>319654.78999999998</v>
      </c>
      <c r="H236" s="2">
        <v>258694.11</v>
      </c>
      <c r="I236" s="2">
        <v>104566.14</v>
      </c>
      <c r="J236">
        <v>44</v>
      </c>
      <c r="K236">
        <v>8</v>
      </c>
      <c r="L236">
        <v>14</v>
      </c>
      <c r="M236">
        <v>2</v>
      </c>
      <c r="N236">
        <v>11</v>
      </c>
      <c r="O236" s="2">
        <v>47374.82</v>
      </c>
      <c r="P236" s="2">
        <v>104.11</v>
      </c>
      <c r="Q236" s="2">
        <v>109.58</v>
      </c>
    </row>
    <row r="237" spans="1:17" x14ac:dyDescent="0.45">
      <c r="A237" s="1">
        <v>45717</v>
      </c>
      <c r="B237">
        <v>2025</v>
      </c>
      <c r="C237">
        <v>6</v>
      </c>
      <c r="D237" t="s">
        <v>22</v>
      </c>
      <c r="E237" s="2">
        <v>7115000</v>
      </c>
      <c r="F237" s="2">
        <v>540722.42000000004</v>
      </c>
      <c r="G237" s="2">
        <v>298879.65000000002</v>
      </c>
      <c r="H237" s="2">
        <v>227130.34</v>
      </c>
      <c r="I237" s="2">
        <v>18579.27</v>
      </c>
      <c r="J237">
        <v>30</v>
      </c>
      <c r="K237">
        <v>1</v>
      </c>
      <c r="L237">
        <v>13</v>
      </c>
      <c r="M237">
        <v>4</v>
      </c>
      <c r="N237">
        <v>14</v>
      </c>
      <c r="O237" s="2">
        <v>56048.39</v>
      </c>
      <c r="P237" s="2">
        <v>112.59</v>
      </c>
      <c r="Q237" s="2">
        <v>115.56</v>
      </c>
    </row>
    <row r="238" spans="1:17" x14ac:dyDescent="0.45">
      <c r="A238" s="1">
        <v>44774</v>
      </c>
      <c r="B238">
        <v>2022</v>
      </c>
      <c r="C238">
        <v>11</v>
      </c>
      <c r="D238" t="s">
        <v>23</v>
      </c>
      <c r="E238" s="2">
        <v>19665000</v>
      </c>
      <c r="F238" s="2">
        <v>1822314.66</v>
      </c>
      <c r="G238" s="2">
        <v>748040.3</v>
      </c>
      <c r="H238" s="2">
        <v>839913.37</v>
      </c>
      <c r="I238" s="2">
        <v>276486.12</v>
      </c>
      <c r="J238">
        <v>94</v>
      </c>
      <c r="K238">
        <v>5</v>
      </c>
      <c r="L238">
        <v>379</v>
      </c>
      <c r="M238">
        <v>6</v>
      </c>
      <c r="N238">
        <v>25</v>
      </c>
      <c r="O238" s="2">
        <v>213771.58</v>
      </c>
      <c r="P238" s="2">
        <v>108.74</v>
      </c>
      <c r="Q238" s="2">
        <v>105.77</v>
      </c>
    </row>
    <row r="239" spans="1:17" x14ac:dyDescent="0.45">
      <c r="A239" s="1">
        <v>45170</v>
      </c>
      <c r="B239">
        <v>2023</v>
      </c>
      <c r="C239">
        <v>12</v>
      </c>
      <c r="D239" t="s">
        <v>25</v>
      </c>
      <c r="E239" s="2">
        <v>4499000</v>
      </c>
      <c r="F239" s="2">
        <v>395606.56</v>
      </c>
      <c r="G239" s="2">
        <v>329391.11</v>
      </c>
      <c r="H239" s="2">
        <v>64149.279999999999</v>
      </c>
      <c r="I239" s="2">
        <v>7073.21</v>
      </c>
      <c r="J239">
        <v>33</v>
      </c>
      <c r="K239">
        <v>0</v>
      </c>
      <c r="L239">
        <v>22</v>
      </c>
      <c r="M239">
        <v>2</v>
      </c>
      <c r="N239">
        <v>9</v>
      </c>
      <c r="O239" s="2">
        <v>17657.310000000001</v>
      </c>
      <c r="P239" s="2">
        <v>99.44</v>
      </c>
      <c r="Q239" s="2">
        <v>109.98</v>
      </c>
    </row>
    <row r="240" spans="1:17" x14ac:dyDescent="0.45">
      <c r="A240" s="1">
        <v>45047</v>
      </c>
      <c r="B240">
        <v>2023</v>
      </c>
      <c r="C240">
        <v>8</v>
      </c>
      <c r="D240" t="s">
        <v>23</v>
      </c>
      <c r="E240" s="2">
        <v>20353000</v>
      </c>
      <c r="F240" s="2">
        <v>1923909.18</v>
      </c>
      <c r="G240" s="2">
        <v>761054.89</v>
      </c>
      <c r="H240" s="2">
        <v>774641.77</v>
      </c>
      <c r="I240" s="2">
        <v>489431.85</v>
      </c>
      <c r="J240">
        <v>97</v>
      </c>
      <c r="K240">
        <v>9</v>
      </c>
      <c r="L240">
        <v>432</v>
      </c>
      <c r="M240">
        <v>7</v>
      </c>
      <c r="N240">
        <v>30</v>
      </c>
      <c r="O240" s="2">
        <v>305005.39</v>
      </c>
      <c r="P240" s="2">
        <v>101.86</v>
      </c>
      <c r="Q240" s="2">
        <v>108.63</v>
      </c>
    </row>
    <row r="241" spans="1:17" x14ac:dyDescent="0.45">
      <c r="A241" s="1">
        <v>45962</v>
      </c>
      <c r="B241">
        <v>2026</v>
      </c>
      <c r="C241">
        <v>2</v>
      </c>
      <c r="D241" t="s">
        <v>20</v>
      </c>
      <c r="E241" s="2">
        <v>16034000</v>
      </c>
      <c r="F241" s="2">
        <v>1314609.6499999999</v>
      </c>
      <c r="G241" s="2">
        <v>664725.22</v>
      </c>
      <c r="H241" s="2">
        <v>609261.46</v>
      </c>
      <c r="I241" s="2">
        <v>59576.65</v>
      </c>
      <c r="J241">
        <v>82</v>
      </c>
      <c r="K241">
        <v>5</v>
      </c>
      <c r="L241">
        <v>86</v>
      </c>
      <c r="M241">
        <v>3</v>
      </c>
      <c r="N241">
        <v>15</v>
      </c>
      <c r="O241" s="2">
        <v>154069.01999999999</v>
      </c>
      <c r="P241" s="2">
        <v>121</v>
      </c>
      <c r="Q241" s="2">
        <v>118.59</v>
      </c>
    </row>
    <row r="242" spans="1:17" x14ac:dyDescent="0.45">
      <c r="A242" s="1">
        <v>44256</v>
      </c>
      <c r="B242">
        <v>2021</v>
      </c>
      <c r="C242">
        <v>6</v>
      </c>
      <c r="D242" t="s">
        <v>27</v>
      </c>
      <c r="E242" s="2">
        <v>25000000</v>
      </c>
      <c r="F242" s="2">
        <v>1954180.69</v>
      </c>
      <c r="G242" s="2">
        <v>1595313.22</v>
      </c>
      <c r="H242" s="2">
        <v>394632.16</v>
      </c>
      <c r="I242" s="2">
        <v>44822.8</v>
      </c>
      <c r="J242">
        <v>203</v>
      </c>
      <c r="K242">
        <v>16</v>
      </c>
      <c r="L242">
        <v>774</v>
      </c>
      <c r="M242">
        <v>10</v>
      </c>
      <c r="N242">
        <v>34</v>
      </c>
      <c r="O242" s="2">
        <v>688459.36</v>
      </c>
      <c r="P242" s="2">
        <v>104.32</v>
      </c>
      <c r="Q242" s="2">
        <v>100.75</v>
      </c>
    </row>
    <row r="243" spans="1:17" x14ac:dyDescent="0.45">
      <c r="A243" s="1">
        <v>44593</v>
      </c>
      <c r="B243">
        <v>2022</v>
      </c>
      <c r="C243">
        <v>5</v>
      </c>
      <c r="D243" t="s">
        <v>18</v>
      </c>
      <c r="E243" s="2">
        <v>3622000</v>
      </c>
      <c r="F243" s="2">
        <v>300979.25</v>
      </c>
      <c r="G243" s="2">
        <v>255909.86</v>
      </c>
      <c r="H243" s="2">
        <v>38189.24</v>
      </c>
      <c r="I243" s="2">
        <v>4256.04</v>
      </c>
      <c r="J243">
        <v>27</v>
      </c>
      <c r="K243">
        <v>1</v>
      </c>
      <c r="L243">
        <v>42</v>
      </c>
      <c r="M243">
        <v>4</v>
      </c>
      <c r="N243">
        <v>12</v>
      </c>
      <c r="O243" s="2">
        <v>25349.31</v>
      </c>
      <c r="P243" s="2">
        <v>112.13</v>
      </c>
      <c r="Q243" s="2">
        <v>103.77</v>
      </c>
    </row>
    <row r="244" spans="1:17" x14ac:dyDescent="0.45">
      <c r="A244" s="1">
        <v>45901</v>
      </c>
      <c r="B244">
        <v>2025</v>
      </c>
      <c r="C244">
        <v>12</v>
      </c>
      <c r="D244" t="s">
        <v>24</v>
      </c>
      <c r="E244" s="2">
        <v>15492000</v>
      </c>
      <c r="F244" s="2">
        <v>1373192.83</v>
      </c>
      <c r="G244" s="2">
        <v>692358.12</v>
      </c>
      <c r="H244" s="2">
        <v>629594.29</v>
      </c>
      <c r="I244" s="2">
        <v>58529.91</v>
      </c>
      <c r="J244">
        <v>84</v>
      </c>
      <c r="K244">
        <v>3</v>
      </c>
      <c r="L244">
        <v>85</v>
      </c>
      <c r="M244">
        <v>1</v>
      </c>
      <c r="N244">
        <v>13</v>
      </c>
      <c r="O244" s="2">
        <v>64791.97</v>
      </c>
      <c r="P244" s="2">
        <v>119.72</v>
      </c>
      <c r="Q244" s="2">
        <v>117.3</v>
      </c>
    </row>
    <row r="245" spans="1:17" x14ac:dyDescent="0.45">
      <c r="A245" s="1">
        <v>45047</v>
      </c>
      <c r="B245">
        <v>2023</v>
      </c>
      <c r="C245">
        <v>8</v>
      </c>
      <c r="D245" t="s">
        <v>22</v>
      </c>
      <c r="E245" s="2">
        <v>6642000</v>
      </c>
      <c r="F245" s="2">
        <v>543404.42000000004</v>
      </c>
      <c r="G245" s="2">
        <v>279856.09999999998</v>
      </c>
      <c r="H245" s="2">
        <v>232386.6</v>
      </c>
      <c r="I245" s="2">
        <v>23340.09</v>
      </c>
      <c r="J245">
        <v>32</v>
      </c>
      <c r="K245">
        <v>4</v>
      </c>
      <c r="L245">
        <v>21</v>
      </c>
      <c r="M245">
        <v>0</v>
      </c>
      <c r="N245">
        <v>12</v>
      </c>
      <c r="O245" s="2">
        <v>14173.16</v>
      </c>
      <c r="P245" s="2">
        <v>105.11</v>
      </c>
      <c r="Q245" s="2">
        <v>108.95</v>
      </c>
    </row>
    <row r="246" spans="1:17" x14ac:dyDescent="0.45">
      <c r="A246" s="1">
        <v>45689</v>
      </c>
      <c r="B246">
        <v>2025</v>
      </c>
      <c r="C246">
        <v>5</v>
      </c>
      <c r="D246" t="s">
        <v>23</v>
      </c>
      <c r="E246" s="2">
        <v>21803000</v>
      </c>
      <c r="F246" s="2">
        <v>2003490.57</v>
      </c>
      <c r="G246" s="2">
        <v>866149.16</v>
      </c>
      <c r="H246" s="2">
        <v>984301.91</v>
      </c>
      <c r="I246" s="2">
        <v>63375.54</v>
      </c>
      <c r="J246">
        <v>98</v>
      </c>
      <c r="K246">
        <v>4</v>
      </c>
      <c r="L246">
        <v>399</v>
      </c>
      <c r="M246">
        <v>5</v>
      </c>
      <c r="N246">
        <v>26</v>
      </c>
      <c r="O246" s="2">
        <v>301048.89</v>
      </c>
      <c r="P246" s="2">
        <v>112.73</v>
      </c>
      <c r="Q246" s="2">
        <v>115.28</v>
      </c>
    </row>
    <row r="247" spans="1:17" x14ac:dyDescent="0.45">
      <c r="A247" s="1">
        <v>44256</v>
      </c>
      <c r="B247">
        <v>2021</v>
      </c>
      <c r="C247">
        <v>6</v>
      </c>
      <c r="D247" t="s">
        <v>17</v>
      </c>
      <c r="E247" s="2">
        <v>7300000</v>
      </c>
      <c r="F247" s="2">
        <v>726558.73</v>
      </c>
      <c r="G247" s="2">
        <v>311243.45</v>
      </c>
      <c r="H247" s="2">
        <v>256884.3</v>
      </c>
      <c r="I247" s="2">
        <v>144909.59</v>
      </c>
      <c r="J247">
        <v>42</v>
      </c>
      <c r="K247">
        <v>3</v>
      </c>
      <c r="L247">
        <v>65</v>
      </c>
      <c r="M247">
        <v>1</v>
      </c>
      <c r="N247">
        <v>15</v>
      </c>
      <c r="O247" s="2">
        <v>35478.089999999997</v>
      </c>
      <c r="P247" s="2">
        <v>104.47</v>
      </c>
      <c r="Q247" s="2">
        <v>101.33</v>
      </c>
    </row>
    <row r="248" spans="1:17" x14ac:dyDescent="0.45">
      <c r="A248" s="1">
        <v>45352</v>
      </c>
      <c r="B248">
        <v>2024</v>
      </c>
      <c r="C248">
        <v>6</v>
      </c>
      <c r="D248" t="s">
        <v>24</v>
      </c>
      <c r="E248" s="2">
        <v>14968000</v>
      </c>
      <c r="F248" s="2">
        <v>1167571.8899999999</v>
      </c>
      <c r="G248" s="2">
        <v>640449.43999999994</v>
      </c>
      <c r="H248" s="2">
        <v>512280.53</v>
      </c>
      <c r="I248" s="2">
        <v>91566.55</v>
      </c>
      <c r="J248">
        <v>81</v>
      </c>
      <c r="K248">
        <v>6</v>
      </c>
      <c r="L248">
        <v>114</v>
      </c>
      <c r="M248">
        <v>4</v>
      </c>
      <c r="N248">
        <v>22</v>
      </c>
      <c r="O248" s="2">
        <v>146551.01999999999</v>
      </c>
      <c r="P248" s="2">
        <v>103.86</v>
      </c>
      <c r="Q248" s="2">
        <v>110.85</v>
      </c>
    </row>
    <row r="249" spans="1:17" x14ac:dyDescent="0.45">
      <c r="A249" s="1">
        <v>45444</v>
      </c>
      <c r="B249">
        <v>2024</v>
      </c>
      <c r="C249">
        <v>9</v>
      </c>
      <c r="D249" t="s">
        <v>27</v>
      </c>
      <c r="E249" s="2">
        <v>27718000</v>
      </c>
      <c r="F249" s="2">
        <v>2628356.31</v>
      </c>
      <c r="G249" s="2">
        <v>1963841.74</v>
      </c>
      <c r="H249" s="2">
        <v>430475.04</v>
      </c>
      <c r="I249" s="2">
        <v>82467.94</v>
      </c>
      <c r="J249">
        <v>228</v>
      </c>
      <c r="K249">
        <v>17</v>
      </c>
      <c r="L249">
        <v>1138</v>
      </c>
      <c r="M249">
        <v>10</v>
      </c>
      <c r="N249">
        <v>41</v>
      </c>
      <c r="O249" s="2">
        <v>683746.19</v>
      </c>
      <c r="P249" s="2">
        <v>100.83</v>
      </c>
      <c r="Q249" s="2">
        <v>112.52</v>
      </c>
    </row>
    <row r="250" spans="1:17" x14ac:dyDescent="0.45">
      <c r="A250" s="1">
        <v>45383</v>
      </c>
      <c r="B250">
        <v>2024</v>
      </c>
      <c r="C250">
        <v>7</v>
      </c>
      <c r="D250" t="s">
        <v>23</v>
      </c>
      <c r="E250" s="2">
        <v>21066000</v>
      </c>
      <c r="F250" s="2">
        <v>1575773.57</v>
      </c>
      <c r="G250" s="2">
        <v>836747.98</v>
      </c>
      <c r="H250" s="2">
        <v>671108.44</v>
      </c>
      <c r="I250" s="2">
        <v>46329.88</v>
      </c>
      <c r="J250">
        <v>100</v>
      </c>
      <c r="K250">
        <v>3</v>
      </c>
      <c r="L250">
        <v>523</v>
      </c>
      <c r="M250">
        <v>6</v>
      </c>
      <c r="N250">
        <v>29</v>
      </c>
      <c r="O250" s="2">
        <v>402116.92</v>
      </c>
      <c r="P250" s="2">
        <v>102.46</v>
      </c>
      <c r="Q250" s="2">
        <v>112.14</v>
      </c>
    </row>
    <row r="251" spans="1:17" x14ac:dyDescent="0.45">
      <c r="A251" s="1">
        <v>44409</v>
      </c>
      <c r="B251">
        <v>2021</v>
      </c>
      <c r="C251">
        <v>11</v>
      </c>
      <c r="D251" t="s">
        <v>27</v>
      </c>
      <c r="E251" s="2">
        <v>25000000</v>
      </c>
      <c r="F251" s="2">
        <v>2190984.64</v>
      </c>
      <c r="G251" s="2">
        <v>1614914.5</v>
      </c>
      <c r="H251" s="2">
        <v>448148.52</v>
      </c>
      <c r="I251" s="2">
        <v>181909.43</v>
      </c>
      <c r="J251">
        <v>205</v>
      </c>
      <c r="K251">
        <v>17</v>
      </c>
      <c r="L251">
        <v>872</v>
      </c>
      <c r="M251">
        <v>10</v>
      </c>
      <c r="N251">
        <v>41</v>
      </c>
      <c r="O251" s="2">
        <v>478570.45</v>
      </c>
      <c r="P251" s="2">
        <v>106.86</v>
      </c>
      <c r="Q251" s="2">
        <v>102.38</v>
      </c>
    </row>
    <row r="252" spans="1:17" x14ac:dyDescent="0.45">
      <c r="A252" s="1">
        <v>45536</v>
      </c>
      <c r="B252">
        <v>2024</v>
      </c>
      <c r="C252">
        <v>12</v>
      </c>
      <c r="D252" t="s">
        <v>21</v>
      </c>
      <c r="E252" s="2">
        <v>8870000</v>
      </c>
      <c r="F252" s="2">
        <v>754065.3</v>
      </c>
      <c r="G252" s="2">
        <v>478143.67</v>
      </c>
      <c r="H252" s="2">
        <v>234726.29</v>
      </c>
      <c r="I252" s="2">
        <v>29122.12</v>
      </c>
      <c r="J252">
        <v>67</v>
      </c>
      <c r="K252">
        <v>7</v>
      </c>
      <c r="L252">
        <v>129</v>
      </c>
      <c r="M252">
        <v>2</v>
      </c>
      <c r="N252">
        <v>13</v>
      </c>
      <c r="O252" s="2">
        <v>48821.52</v>
      </c>
      <c r="P252" s="2">
        <v>103.56</v>
      </c>
      <c r="Q252" s="2">
        <v>113.64</v>
      </c>
    </row>
    <row r="253" spans="1:17" x14ac:dyDescent="0.45">
      <c r="A253" s="1">
        <v>45017</v>
      </c>
      <c r="B253">
        <v>2023</v>
      </c>
      <c r="C253">
        <v>7</v>
      </c>
      <c r="D253" t="s">
        <v>24</v>
      </c>
      <c r="E253" s="2">
        <v>14462000</v>
      </c>
      <c r="F253" s="2">
        <v>1260074.6399999999</v>
      </c>
      <c r="G253" s="2">
        <v>610689.79</v>
      </c>
      <c r="H253" s="2">
        <v>534470.39</v>
      </c>
      <c r="I253" s="2">
        <v>82186.759999999995</v>
      </c>
      <c r="J253">
        <v>80</v>
      </c>
      <c r="K253">
        <v>5</v>
      </c>
      <c r="L253">
        <v>94</v>
      </c>
      <c r="M253">
        <v>3</v>
      </c>
      <c r="N253">
        <v>18</v>
      </c>
      <c r="O253" s="2">
        <v>97594.01</v>
      </c>
      <c r="P253" s="2">
        <v>104.43</v>
      </c>
      <c r="Q253" s="2">
        <v>108.9</v>
      </c>
    </row>
    <row r="254" spans="1:17" x14ac:dyDescent="0.45">
      <c r="A254" s="1">
        <v>44440</v>
      </c>
      <c r="B254">
        <v>2021</v>
      </c>
      <c r="C254">
        <v>12</v>
      </c>
      <c r="D254" t="s">
        <v>27</v>
      </c>
      <c r="E254" s="2">
        <v>25000000</v>
      </c>
      <c r="F254" s="2">
        <v>2221515.63</v>
      </c>
      <c r="G254" s="2">
        <v>1698085.55</v>
      </c>
      <c r="H254" s="2">
        <v>545705.88</v>
      </c>
      <c r="I254" s="2">
        <v>79486.880000000005</v>
      </c>
      <c r="J254">
        <v>205</v>
      </c>
      <c r="K254">
        <v>16</v>
      </c>
      <c r="L254">
        <v>1045</v>
      </c>
      <c r="M254">
        <v>8</v>
      </c>
      <c r="N254">
        <v>30</v>
      </c>
      <c r="O254" s="2">
        <v>614723.78</v>
      </c>
      <c r="P254" s="2">
        <v>111.98</v>
      </c>
      <c r="Q254" s="2">
        <v>101.98</v>
      </c>
    </row>
    <row r="255" spans="1:17" x14ac:dyDescent="0.45">
      <c r="A255" s="1">
        <v>44927</v>
      </c>
      <c r="B255">
        <v>2023</v>
      </c>
      <c r="C255">
        <v>4</v>
      </c>
      <c r="D255" t="s">
        <v>28</v>
      </c>
      <c r="E255" s="2">
        <v>23567000</v>
      </c>
      <c r="F255" s="2">
        <v>2044970.4</v>
      </c>
      <c r="G255" s="2">
        <v>1733667.74</v>
      </c>
      <c r="H255" s="2">
        <v>389929.27</v>
      </c>
      <c r="I255" s="2">
        <v>19373.240000000002</v>
      </c>
      <c r="J255">
        <v>189</v>
      </c>
      <c r="K255">
        <v>12</v>
      </c>
      <c r="L255">
        <v>717</v>
      </c>
      <c r="M255">
        <v>4</v>
      </c>
      <c r="N255">
        <v>26</v>
      </c>
      <c r="O255" s="2">
        <v>229555.64</v>
      </c>
      <c r="P255" s="2">
        <v>109.86</v>
      </c>
      <c r="Q255" s="2">
        <v>107.72</v>
      </c>
    </row>
    <row r="256" spans="1:17" x14ac:dyDescent="0.45">
      <c r="A256" s="1">
        <v>44593</v>
      </c>
      <c r="B256">
        <v>2022</v>
      </c>
      <c r="C256">
        <v>5</v>
      </c>
      <c r="D256" t="s">
        <v>27</v>
      </c>
      <c r="E256" s="2">
        <v>25875000</v>
      </c>
      <c r="F256" s="2">
        <v>2132822.38</v>
      </c>
      <c r="G256" s="2">
        <v>1644822.8</v>
      </c>
      <c r="H256" s="2">
        <v>402505.09</v>
      </c>
      <c r="I256" s="2">
        <v>34061.06</v>
      </c>
      <c r="J256">
        <v>207</v>
      </c>
      <c r="K256">
        <v>15</v>
      </c>
      <c r="L256">
        <v>910</v>
      </c>
      <c r="M256">
        <v>6</v>
      </c>
      <c r="N256">
        <v>29</v>
      </c>
      <c r="O256" s="2">
        <v>452843.4</v>
      </c>
      <c r="P256" s="2">
        <v>108.91</v>
      </c>
      <c r="Q256" s="2">
        <v>104.79</v>
      </c>
    </row>
    <row r="257" spans="1:17" x14ac:dyDescent="0.45">
      <c r="A257" s="1">
        <v>45627</v>
      </c>
      <c r="B257">
        <v>2025</v>
      </c>
      <c r="C257">
        <v>3</v>
      </c>
      <c r="D257" t="s">
        <v>21</v>
      </c>
      <c r="E257" s="2">
        <v>9180000</v>
      </c>
      <c r="F257" s="2">
        <v>853338.66</v>
      </c>
      <c r="G257" s="2">
        <v>527008.87</v>
      </c>
      <c r="H257" s="2">
        <v>278884.71000000002</v>
      </c>
      <c r="I257" s="2">
        <v>33931.949999999997</v>
      </c>
      <c r="J257">
        <v>66</v>
      </c>
      <c r="K257">
        <v>6</v>
      </c>
      <c r="L257">
        <v>86</v>
      </c>
      <c r="M257">
        <v>5</v>
      </c>
      <c r="N257">
        <v>20</v>
      </c>
      <c r="O257" s="2">
        <v>93390.23</v>
      </c>
      <c r="P257" s="2">
        <v>109.28</v>
      </c>
      <c r="Q257" s="2">
        <v>114.71</v>
      </c>
    </row>
    <row r="258" spans="1:17" x14ac:dyDescent="0.45">
      <c r="A258" s="1">
        <v>45047</v>
      </c>
      <c r="B258">
        <v>2023</v>
      </c>
      <c r="C258">
        <v>8</v>
      </c>
      <c r="D258" t="s">
        <v>19</v>
      </c>
      <c r="E258" s="2">
        <v>5142000</v>
      </c>
      <c r="F258" s="2">
        <v>426790.9</v>
      </c>
      <c r="G258" s="2">
        <v>366625.21</v>
      </c>
      <c r="H258" s="2">
        <v>60345.58</v>
      </c>
      <c r="I258" s="2">
        <v>8796.26</v>
      </c>
      <c r="J258">
        <v>37</v>
      </c>
      <c r="K258">
        <v>0</v>
      </c>
      <c r="L258">
        <v>55</v>
      </c>
      <c r="M258">
        <v>0</v>
      </c>
      <c r="N258">
        <v>10</v>
      </c>
      <c r="O258" s="2">
        <v>9283.93</v>
      </c>
      <c r="P258" s="2">
        <v>103.01</v>
      </c>
      <c r="Q258" s="2">
        <v>108.77</v>
      </c>
    </row>
    <row r="259" spans="1:17" x14ac:dyDescent="0.45">
      <c r="A259" s="1">
        <v>45352</v>
      </c>
      <c r="B259">
        <v>2024</v>
      </c>
      <c r="C259">
        <v>6</v>
      </c>
      <c r="D259" t="s">
        <v>22</v>
      </c>
      <c r="E259" s="2">
        <v>6874000</v>
      </c>
      <c r="F259" s="2">
        <v>527847.86</v>
      </c>
      <c r="G259" s="2">
        <v>276975.09999999998</v>
      </c>
      <c r="H259" s="2">
        <v>230585.69</v>
      </c>
      <c r="I259" s="2">
        <v>32842.75</v>
      </c>
      <c r="J259">
        <v>30</v>
      </c>
      <c r="K259">
        <v>5</v>
      </c>
      <c r="L259">
        <v>55</v>
      </c>
      <c r="M259">
        <v>0</v>
      </c>
      <c r="N259">
        <v>15</v>
      </c>
      <c r="O259" s="2">
        <v>12834.36</v>
      </c>
      <c r="P259" s="2">
        <v>97.14</v>
      </c>
      <c r="Q259" s="2">
        <v>111.71</v>
      </c>
    </row>
    <row r="260" spans="1:17" x14ac:dyDescent="0.45">
      <c r="A260" s="1">
        <v>45170</v>
      </c>
      <c r="B260">
        <v>2023</v>
      </c>
      <c r="C260">
        <v>12</v>
      </c>
      <c r="D260" t="s">
        <v>24</v>
      </c>
      <c r="E260" s="2">
        <v>14462000</v>
      </c>
      <c r="F260" s="2">
        <v>1387864.39</v>
      </c>
      <c r="G260" s="2">
        <v>623670.43999999994</v>
      </c>
      <c r="H260" s="2">
        <v>483382.99</v>
      </c>
      <c r="I260" s="2">
        <v>317618.39</v>
      </c>
      <c r="J260">
        <v>84</v>
      </c>
      <c r="K260">
        <v>3</v>
      </c>
      <c r="L260">
        <v>63</v>
      </c>
      <c r="M260">
        <v>7</v>
      </c>
      <c r="N260">
        <v>25</v>
      </c>
      <c r="O260" s="2">
        <v>308338.40000000002</v>
      </c>
      <c r="P260" s="2">
        <v>98.34</v>
      </c>
      <c r="Q260" s="2">
        <v>110.57</v>
      </c>
    </row>
    <row r="261" spans="1:17" x14ac:dyDescent="0.45">
      <c r="A261" s="1">
        <v>45901</v>
      </c>
      <c r="B261">
        <v>2025</v>
      </c>
      <c r="C261">
        <v>12</v>
      </c>
      <c r="D261" t="s">
        <v>18</v>
      </c>
      <c r="E261" s="2">
        <v>4016000</v>
      </c>
      <c r="F261" s="2">
        <v>353231.77</v>
      </c>
      <c r="G261" s="2">
        <v>305657.62</v>
      </c>
      <c r="H261" s="2">
        <v>44758.11</v>
      </c>
      <c r="I261" s="2">
        <v>4562.9399999999996</v>
      </c>
      <c r="J261">
        <v>28</v>
      </c>
      <c r="K261">
        <v>0</v>
      </c>
      <c r="L261">
        <v>32</v>
      </c>
      <c r="M261">
        <v>0</v>
      </c>
      <c r="N261">
        <v>4</v>
      </c>
      <c r="O261" s="2">
        <v>3096.57</v>
      </c>
      <c r="P261" s="2">
        <v>115.13</v>
      </c>
      <c r="Q261" s="2">
        <v>117.75</v>
      </c>
    </row>
    <row r="262" spans="1:17" x14ac:dyDescent="0.45">
      <c r="A262" s="1">
        <v>45901</v>
      </c>
      <c r="B262">
        <v>2025</v>
      </c>
      <c r="C262">
        <v>12</v>
      </c>
      <c r="D262" t="s">
        <v>23</v>
      </c>
      <c r="E262" s="2">
        <v>21803000</v>
      </c>
      <c r="F262" s="2">
        <v>1913355.13</v>
      </c>
      <c r="G262" s="2">
        <v>820274.14</v>
      </c>
      <c r="H262" s="2">
        <v>1003695.27</v>
      </c>
      <c r="I262" s="2">
        <v>140783.20000000001</v>
      </c>
      <c r="J262">
        <v>96</v>
      </c>
      <c r="K262">
        <v>9</v>
      </c>
      <c r="L262">
        <v>358</v>
      </c>
      <c r="M262">
        <v>6</v>
      </c>
      <c r="N262">
        <v>27</v>
      </c>
      <c r="O262" s="2">
        <v>243089.59</v>
      </c>
      <c r="P262" s="2">
        <v>119.42</v>
      </c>
      <c r="Q262" s="2">
        <v>118.27</v>
      </c>
    </row>
    <row r="263" spans="1:17" x14ac:dyDescent="0.45">
      <c r="A263" s="1">
        <v>45809</v>
      </c>
      <c r="B263">
        <v>2025</v>
      </c>
      <c r="C263">
        <v>9</v>
      </c>
      <c r="D263" t="s">
        <v>21</v>
      </c>
      <c r="E263" s="2">
        <v>9180000</v>
      </c>
      <c r="F263" s="2">
        <v>765146</v>
      </c>
      <c r="G263" s="2">
        <v>509346.31</v>
      </c>
      <c r="H263" s="2">
        <v>212396.45</v>
      </c>
      <c r="I263" s="2">
        <v>13442.17</v>
      </c>
      <c r="J263">
        <v>66</v>
      </c>
      <c r="K263">
        <v>6</v>
      </c>
      <c r="L263">
        <v>119</v>
      </c>
      <c r="M263">
        <v>2</v>
      </c>
      <c r="N263">
        <v>17</v>
      </c>
      <c r="O263" s="2">
        <v>41868.01</v>
      </c>
      <c r="P263" s="2">
        <v>116.94</v>
      </c>
      <c r="Q263" s="2">
        <v>116.87</v>
      </c>
    </row>
    <row r="264" spans="1:17" x14ac:dyDescent="0.45">
      <c r="A264" s="1">
        <v>44743</v>
      </c>
      <c r="B264">
        <v>2022</v>
      </c>
      <c r="C264">
        <v>10</v>
      </c>
      <c r="D264" t="s">
        <v>22</v>
      </c>
      <c r="E264" s="2">
        <v>6417000</v>
      </c>
      <c r="F264" s="2">
        <v>505873.13</v>
      </c>
      <c r="G264" s="2">
        <v>269705.11</v>
      </c>
      <c r="H264" s="2">
        <v>225192.15</v>
      </c>
      <c r="I264" s="2">
        <v>10544.38</v>
      </c>
      <c r="J264">
        <v>30</v>
      </c>
      <c r="K264">
        <v>3</v>
      </c>
      <c r="L264">
        <v>43</v>
      </c>
      <c r="M264">
        <v>2</v>
      </c>
      <c r="N264">
        <v>11</v>
      </c>
      <c r="O264" s="2">
        <v>40947.74</v>
      </c>
      <c r="P264" s="2">
        <v>109.81</v>
      </c>
      <c r="Q264" s="2">
        <v>106.09</v>
      </c>
    </row>
    <row r="265" spans="1:17" x14ac:dyDescent="0.45">
      <c r="A265" s="1">
        <v>44866</v>
      </c>
      <c r="B265">
        <v>2023</v>
      </c>
      <c r="C265">
        <v>2</v>
      </c>
      <c r="D265" t="s">
        <v>28</v>
      </c>
      <c r="E265" s="2">
        <v>23567000</v>
      </c>
      <c r="F265" s="2">
        <v>2166156.2000000002</v>
      </c>
      <c r="G265" s="2">
        <v>1633240.1</v>
      </c>
      <c r="H265" s="2">
        <v>509797.49</v>
      </c>
      <c r="I265" s="2">
        <v>164957.29</v>
      </c>
      <c r="J265">
        <v>182</v>
      </c>
      <c r="K265">
        <v>14</v>
      </c>
      <c r="L265">
        <v>875</v>
      </c>
      <c r="M265">
        <v>5</v>
      </c>
      <c r="N265">
        <v>29</v>
      </c>
      <c r="O265" s="2">
        <v>231051.59</v>
      </c>
      <c r="P265" s="2">
        <v>108.68</v>
      </c>
      <c r="Q265" s="2">
        <v>106.6</v>
      </c>
    </row>
    <row r="266" spans="1:17" x14ac:dyDescent="0.45">
      <c r="A266" s="1">
        <v>44348</v>
      </c>
      <c r="B266">
        <v>2021</v>
      </c>
      <c r="C266">
        <v>9</v>
      </c>
      <c r="D266" t="s">
        <v>27</v>
      </c>
      <c r="E266" s="2">
        <v>25000000</v>
      </c>
      <c r="F266" s="2">
        <v>2173605.0299999998</v>
      </c>
      <c r="G266" s="2">
        <v>1635899.58</v>
      </c>
      <c r="H266" s="2">
        <v>435466.34</v>
      </c>
      <c r="I266" s="2">
        <v>57400.02</v>
      </c>
      <c r="J266">
        <v>207</v>
      </c>
      <c r="K266">
        <v>16</v>
      </c>
      <c r="L266">
        <v>660</v>
      </c>
      <c r="M266">
        <v>8</v>
      </c>
      <c r="N266">
        <v>35</v>
      </c>
      <c r="O266" s="2">
        <v>461180.81</v>
      </c>
      <c r="P266" s="2">
        <v>101.79</v>
      </c>
      <c r="Q266" s="2">
        <v>101.45</v>
      </c>
    </row>
    <row r="267" spans="1:17" x14ac:dyDescent="0.45">
      <c r="A267" s="1">
        <v>45474</v>
      </c>
      <c r="B267">
        <v>2024</v>
      </c>
      <c r="C267">
        <v>10</v>
      </c>
      <c r="D267" t="s">
        <v>28</v>
      </c>
      <c r="E267" s="2">
        <v>24392000</v>
      </c>
      <c r="F267" s="2">
        <v>2157853.29</v>
      </c>
      <c r="G267" s="2">
        <v>1785535.1</v>
      </c>
      <c r="H267" s="2">
        <v>390336.76</v>
      </c>
      <c r="I267" s="2">
        <v>29318.080000000002</v>
      </c>
      <c r="J267">
        <v>185</v>
      </c>
      <c r="K267">
        <v>11</v>
      </c>
      <c r="L267">
        <v>631</v>
      </c>
      <c r="M267">
        <v>8</v>
      </c>
      <c r="N267">
        <v>29</v>
      </c>
      <c r="O267" s="2">
        <v>378719.53</v>
      </c>
      <c r="P267" s="2">
        <v>100.21</v>
      </c>
      <c r="Q267" s="2">
        <v>113.88</v>
      </c>
    </row>
    <row r="268" spans="1:17" x14ac:dyDescent="0.45">
      <c r="A268" s="1">
        <v>44927</v>
      </c>
      <c r="B268">
        <v>2023</v>
      </c>
      <c r="C268">
        <v>4</v>
      </c>
      <c r="D268" t="s">
        <v>22</v>
      </c>
      <c r="E268" s="2">
        <v>6642000</v>
      </c>
      <c r="F268" s="2">
        <v>537800.31000000006</v>
      </c>
      <c r="G268" s="2">
        <v>267381.15999999997</v>
      </c>
      <c r="H268" s="2">
        <v>218444.79999999999</v>
      </c>
      <c r="I268" s="2">
        <v>39475.32</v>
      </c>
      <c r="J268">
        <v>29</v>
      </c>
      <c r="K268">
        <v>7</v>
      </c>
      <c r="L268">
        <v>37</v>
      </c>
      <c r="M268">
        <v>2</v>
      </c>
      <c r="N268">
        <v>16</v>
      </c>
      <c r="O268" s="2">
        <v>36153.360000000001</v>
      </c>
      <c r="P268" s="2">
        <v>108.59</v>
      </c>
      <c r="Q268" s="2">
        <v>108.5</v>
      </c>
    </row>
    <row r="269" spans="1:17" x14ac:dyDescent="0.45">
      <c r="A269" s="1">
        <v>44682</v>
      </c>
      <c r="B269">
        <v>2022</v>
      </c>
      <c r="C269">
        <v>8</v>
      </c>
      <c r="D269" t="s">
        <v>22</v>
      </c>
      <c r="E269" s="2">
        <v>6417000</v>
      </c>
      <c r="F269" s="2">
        <v>514378.36</v>
      </c>
      <c r="G269" s="2">
        <v>265747.71999999997</v>
      </c>
      <c r="H269" s="2">
        <v>231790.74</v>
      </c>
      <c r="I269" s="2">
        <v>18705.22</v>
      </c>
      <c r="J269">
        <v>30</v>
      </c>
      <c r="K269">
        <v>3</v>
      </c>
      <c r="L269">
        <v>21</v>
      </c>
      <c r="M269">
        <v>5</v>
      </c>
      <c r="N269">
        <v>21</v>
      </c>
      <c r="O269" s="2">
        <v>59828.89</v>
      </c>
      <c r="P269" s="2">
        <v>114.2</v>
      </c>
      <c r="Q269" s="2">
        <v>104.21</v>
      </c>
    </row>
    <row r="270" spans="1:17" x14ac:dyDescent="0.45">
      <c r="A270" s="1">
        <v>45323</v>
      </c>
      <c r="B270">
        <v>2024</v>
      </c>
      <c r="C270">
        <v>5</v>
      </c>
      <c r="D270" t="s">
        <v>24</v>
      </c>
      <c r="E270" s="2">
        <v>14968000</v>
      </c>
      <c r="F270" s="2">
        <v>1223076.6499999999</v>
      </c>
      <c r="G270" s="2">
        <v>654205.99</v>
      </c>
      <c r="H270" s="2">
        <v>530803.28</v>
      </c>
      <c r="I270" s="2">
        <v>56400.43</v>
      </c>
      <c r="J270">
        <v>83</v>
      </c>
      <c r="K270">
        <v>4</v>
      </c>
      <c r="L270">
        <v>173</v>
      </c>
      <c r="M270">
        <v>2</v>
      </c>
      <c r="N270">
        <v>20</v>
      </c>
      <c r="O270" s="2">
        <v>106363.17</v>
      </c>
      <c r="P270" s="2">
        <v>100.87</v>
      </c>
      <c r="Q270" s="2">
        <v>111.82</v>
      </c>
    </row>
    <row r="271" spans="1:17" x14ac:dyDescent="0.45">
      <c r="A271" s="1">
        <v>45047</v>
      </c>
      <c r="B271">
        <v>2023</v>
      </c>
      <c r="C271">
        <v>8</v>
      </c>
      <c r="D271" t="s">
        <v>27</v>
      </c>
      <c r="E271" s="2">
        <v>26781000</v>
      </c>
      <c r="F271" s="2">
        <v>2443046.16</v>
      </c>
      <c r="G271" s="2">
        <v>1806724.38</v>
      </c>
      <c r="H271" s="2">
        <v>523828.69</v>
      </c>
      <c r="I271" s="2">
        <v>26943.200000000001</v>
      </c>
      <c r="J271">
        <v>218</v>
      </c>
      <c r="K271">
        <v>13</v>
      </c>
      <c r="L271">
        <v>793</v>
      </c>
      <c r="M271">
        <v>10</v>
      </c>
      <c r="N271">
        <v>37</v>
      </c>
      <c r="O271" s="2">
        <v>451336.88</v>
      </c>
      <c r="P271" s="2">
        <v>104.22</v>
      </c>
      <c r="Q271" s="2">
        <v>108.88</v>
      </c>
    </row>
    <row r="272" spans="1:17" x14ac:dyDescent="0.45">
      <c r="A272" s="1">
        <v>45566</v>
      </c>
      <c r="B272">
        <v>2025</v>
      </c>
      <c r="C272">
        <v>1</v>
      </c>
      <c r="D272" t="s">
        <v>28</v>
      </c>
      <c r="E272" s="2">
        <v>25246000</v>
      </c>
      <c r="F272" s="2">
        <v>2328231.0099999998</v>
      </c>
      <c r="G272" s="2">
        <v>1730050.99</v>
      </c>
      <c r="H272" s="2">
        <v>385776.5</v>
      </c>
      <c r="I272" s="2">
        <v>45167.97</v>
      </c>
      <c r="J272">
        <v>183</v>
      </c>
      <c r="K272">
        <v>13</v>
      </c>
      <c r="L272">
        <v>803</v>
      </c>
      <c r="M272">
        <v>6</v>
      </c>
      <c r="N272">
        <v>27</v>
      </c>
      <c r="O272" s="2">
        <v>451698.16</v>
      </c>
      <c r="P272" s="2">
        <v>101.95</v>
      </c>
      <c r="Q272" s="2">
        <v>113.61</v>
      </c>
    </row>
    <row r="273" spans="1:17" x14ac:dyDescent="0.45">
      <c r="A273" s="1">
        <v>45658</v>
      </c>
      <c r="B273">
        <v>2025</v>
      </c>
      <c r="C273">
        <v>4</v>
      </c>
      <c r="D273" t="s">
        <v>25</v>
      </c>
      <c r="E273" s="2">
        <v>4820000</v>
      </c>
      <c r="F273" s="2">
        <v>412900.46</v>
      </c>
      <c r="G273" s="2">
        <v>344915.59</v>
      </c>
      <c r="H273" s="2">
        <v>61531.47</v>
      </c>
      <c r="I273" s="2">
        <v>2808.27</v>
      </c>
      <c r="J273">
        <v>35</v>
      </c>
      <c r="K273">
        <v>0</v>
      </c>
      <c r="L273">
        <v>0</v>
      </c>
      <c r="M273">
        <v>3</v>
      </c>
      <c r="N273">
        <v>14</v>
      </c>
      <c r="O273" s="2">
        <v>33929.040000000001</v>
      </c>
      <c r="P273" s="2">
        <v>109.88</v>
      </c>
      <c r="Q273" s="2">
        <v>114.94</v>
      </c>
    </row>
    <row r="274" spans="1:17" x14ac:dyDescent="0.45">
      <c r="A274" s="1">
        <v>45809</v>
      </c>
      <c r="B274">
        <v>2025</v>
      </c>
      <c r="C274">
        <v>9</v>
      </c>
      <c r="D274" t="s">
        <v>17</v>
      </c>
      <c r="E274" s="2">
        <v>8377000</v>
      </c>
      <c r="F274" s="2">
        <v>726291.87</v>
      </c>
      <c r="G274" s="2">
        <v>403402.1</v>
      </c>
      <c r="H274" s="2">
        <v>294053.71000000002</v>
      </c>
      <c r="I274" s="2">
        <v>21236.81</v>
      </c>
      <c r="J274">
        <v>47</v>
      </c>
      <c r="K274">
        <v>4</v>
      </c>
      <c r="L274">
        <v>78</v>
      </c>
      <c r="M274">
        <v>4</v>
      </c>
      <c r="N274">
        <v>15</v>
      </c>
      <c r="O274" s="2">
        <v>84878.27</v>
      </c>
      <c r="P274" s="2">
        <v>110.73</v>
      </c>
      <c r="Q274" s="2">
        <v>116.72</v>
      </c>
    </row>
    <row r="275" spans="1:17" x14ac:dyDescent="0.45">
      <c r="A275" s="1">
        <v>44713</v>
      </c>
      <c r="B275">
        <v>2022</v>
      </c>
      <c r="C275">
        <v>9</v>
      </c>
      <c r="D275" t="s">
        <v>18</v>
      </c>
      <c r="E275" s="2">
        <v>3622000</v>
      </c>
      <c r="F275" s="2">
        <v>308656.59000000003</v>
      </c>
      <c r="G275" s="2">
        <v>255212.7</v>
      </c>
      <c r="H275" s="2">
        <v>43211.64</v>
      </c>
      <c r="I275" s="2">
        <v>6956.84</v>
      </c>
      <c r="J275">
        <v>27</v>
      </c>
      <c r="K275">
        <v>2</v>
      </c>
      <c r="L275">
        <v>20</v>
      </c>
      <c r="M275">
        <v>3</v>
      </c>
      <c r="N275">
        <v>12</v>
      </c>
      <c r="O275" s="2">
        <v>32700.720000000001</v>
      </c>
      <c r="P275" s="2">
        <v>110.61</v>
      </c>
      <c r="Q275" s="2">
        <v>105.02</v>
      </c>
    </row>
    <row r="276" spans="1:17" x14ac:dyDescent="0.45">
      <c r="A276" s="1">
        <v>45139</v>
      </c>
      <c r="B276">
        <v>2023</v>
      </c>
      <c r="C276">
        <v>11</v>
      </c>
      <c r="D276" t="s">
        <v>28</v>
      </c>
      <c r="E276" s="2">
        <v>23567000</v>
      </c>
      <c r="F276" s="2">
        <v>2126788.4900000002</v>
      </c>
      <c r="G276" s="2">
        <v>1644002.15</v>
      </c>
      <c r="H276" s="2">
        <v>326984.62</v>
      </c>
      <c r="I276" s="2">
        <v>175162.74</v>
      </c>
      <c r="J276">
        <v>184</v>
      </c>
      <c r="K276">
        <v>16</v>
      </c>
      <c r="L276">
        <v>841</v>
      </c>
      <c r="M276">
        <v>9</v>
      </c>
      <c r="N276">
        <v>31</v>
      </c>
      <c r="O276" s="2">
        <v>435268.73</v>
      </c>
      <c r="P276" s="2">
        <v>101.46</v>
      </c>
      <c r="Q276" s="2">
        <v>109.07</v>
      </c>
    </row>
    <row r="277" spans="1:17" x14ac:dyDescent="0.45">
      <c r="A277" s="1">
        <v>44805</v>
      </c>
      <c r="B277">
        <v>2022</v>
      </c>
      <c r="C277">
        <v>12</v>
      </c>
      <c r="D277" t="s">
        <v>19</v>
      </c>
      <c r="E277" s="2">
        <v>4968000</v>
      </c>
      <c r="F277" s="2">
        <v>424697.5</v>
      </c>
      <c r="G277" s="2">
        <v>349862.2</v>
      </c>
      <c r="H277" s="2">
        <v>65395.519999999997</v>
      </c>
      <c r="I277" s="2">
        <v>9862.2999999999993</v>
      </c>
      <c r="J277">
        <v>37</v>
      </c>
      <c r="K277">
        <v>0</v>
      </c>
      <c r="L277">
        <v>78</v>
      </c>
      <c r="M277">
        <v>2</v>
      </c>
      <c r="N277">
        <v>15</v>
      </c>
      <c r="O277" s="2">
        <v>22378.07</v>
      </c>
      <c r="P277" s="2">
        <v>108.91</v>
      </c>
      <c r="Q277" s="2">
        <v>106.28</v>
      </c>
    </row>
    <row r="278" spans="1:17" x14ac:dyDescent="0.45">
      <c r="A278" s="1">
        <v>44713</v>
      </c>
      <c r="B278">
        <v>2022</v>
      </c>
      <c r="C278">
        <v>9</v>
      </c>
      <c r="D278" t="s">
        <v>21</v>
      </c>
      <c r="E278" s="2">
        <v>8280000</v>
      </c>
      <c r="F278" s="2">
        <v>679123.61</v>
      </c>
      <c r="G278" s="2">
        <v>425257.92</v>
      </c>
      <c r="H278" s="2">
        <v>196104.93</v>
      </c>
      <c r="I278" s="2">
        <v>29247.91</v>
      </c>
      <c r="J278">
        <v>64</v>
      </c>
      <c r="K278">
        <v>6</v>
      </c>
      <c r="L278">
        <v>96</v>
      </c>
      <c r="M278">
        <v>2</v>
      </c>
      <c r="N278">
        <v>16</v>
      </c>
      <c r="O278" s="2">
        <v>43129.94</v>
      </c>
      <c r="P278" s="2">
        <v>111.14</v>
      </c>
      <c r="Q278" s="2">
        <v>105.78</v>
      </c>
    </row>
    <row r="279" spans="1:17" x14ac:dyDescent="0.45">
      <c r="A279" s="1">
        <v>44805</v>
      </c>
      <c r="B279">
        <v>2022</v>
      </c>
      <c r="C279">
        <v>12</v>
      </c>
      <c r="D279" t="s">
        <v>27</v>
      </c>
      <c r="E279" s="2">
        <v>25875000</v>
      </c>
      <c r="F279" s="2">
        <v>2238369.31</v>
      </c>
      <c r="G279" s="2">
        <v>1710211.18</v>
      </c>
      <c r="H279" s="2">
        <v>400414.78</v>
      </c>
      <c r="I279" s="2">
        <v>29643.06</v>
      </c>
      <c r="J279">
        <v>204</v>
      </c>
      <c r="K279">
        <v>15</v>
      </c>
      <c r="L279">
        <v>1032</v>
      </c>
      <c r="M279">
        <v>7</v>
      </c>
      <c r="N279">
        <v>34</v>
      </c>
      <c r="O279" s="2">
        <v>503677.92</v>
      </c>
      <c r="P279" s="2">
        <v>111.45</v>
      </c>
      <c r="Q279" s="2">
        <v>106.25</v>
      </c>
    </row>
    <row r="280" spans="1:17" x14ac:dyDescent="0.45">
      <c r="A280" s="1">
        <v>45536</v>
      </c>
      <c r="B280">
        <v>2024</v>
      </c>
      <c r="C280">
        <v>12</v>
      </c>
      <c r="D280" t="s">
        <v>20</v>
      </c>
      <c r="E280" s="2">
        <v>14968000</v>
      </c>
      <c r="F280" s="2">
        <v>1226160.69</v>
      </c>
      <c r="G280" s="2">
        <v>610872.17000000004</v>
      </c>
      <c r="H280" s="2">
        <v>557625.87</v>
      </c>
      <c r="I280" s="2">
        <v>70052.5</v>
      </c>
      <c r="J280">
        <v>80</v>
      </c>
      <c r="K280">
        <v>5</v>
      </c>
      <c r="L280">
        <v>112</v>
      </c>
      <c r="M280">
        <v>5</v>
      </c>
      <c r="N280">
        <v>25</v>
      </c>
      <c r="O280" s="2">
        <v>186989.11</v>
      </c>
      <c r="P280" s="2">
        <v>103.84</v>
      </c>
      <c r="Q280" s="2">
        <v>113.69</v>
      </c>
    </row>
    <row r="281" spans="1:17" x14ac:dyDescent="0.45">
      <c r="A281" s="1">
        <v>44256</v>
      </c>
      <c r="B281">
        <v>2021</v>
      </c>
      <c r="C281">
        <v>6</v>
      </c>
      <c r="D281" t="s">
        <v>24</v>
      </c>
      <c r="E281" s="2">
        <v>13500000</v>
      </c>
      <c r="F281" s="2">
        <v>1105767.29</v>
      </c>
      <c r="G281" s="2">
        <v>528591.79</v>
      </c>
      <c r="H281" s="2">
        <v>468043.95</v>
      </c>
      <c r="I281" s="2">
        <v>72522.320000000007</v>
      </c>
      <c r="J281">
        <v>77</v>
      </c>
      <c r="K281">
        <v>7</v>
      </c>
      <c r="L281">
        <v>34</v>
      </c>
      <c r="M281">
        <v>1</v>
      </c>
      <c r="N281">
        <v>14</v>
      </c>
      <c r="O281" s="2">
        <v>44820.06</v>
      </c>
      <c r="P281" s="2">
        <v>105.18</v>
      </c>
      <c r="Q281" s="2">
        <v>100.37</v>
      </c>
    </row>
    <row r="282" spans="1:17" x14ac:dyDescent="0.45">
      <c r="A282" s="1">
        <v>45505</v>
      </c>
      <c r="B282">
        <v>2024</v>
      </c>
      <c r="C282">
        <v>11</v>
      </c>
      <c r="D282" t="s">
        <v>27</v>
      </c>
      <c r="E282" s="2">
        <v>27718000</v>
      </c>
      <c r="F282" s="2">
        <v>2590133.8199999998</v>
      </c>
      <c r="G282" s="2">
        <v>1943160.07</v>
      </c>
      <c r="H282" s="2">
        <v>453864.81</v>
      </c>
      <c r="I282" s="2">
        <v>189698.18</v>
      </c>
      <c r="J282">
        <v>213</v>
      </c>
      <c r="K282">
        <v>19</v>
      </c>
      <c r="L282">
        <v>929</v>
      </c>
      <c r="M282">
        <v>12</v>
      </c>
      <c r="N282">
        <v>39</v>
      </c>
      <c r="O282" s="2">
        <v>760638.27</v>
      </c>
      <c r="P282" s="2">
        <v>102.31</v>
      </c>
      <c r="Q282" s="2">
        <v>114.57</v>
      </c>
    </row>
    <row r="283" spans="1:17" x14ac:dyDescent="0.45">
      <c r="A283" s="1">
        <v>44986</v>
      </c>
      <c r="B283">
        <v>2023</v>
      </c>
      <c r="C283">
        <v>6</v>
      </c>
      <c r="D283" t="s">
        <v>19</v>
      </c>
      <c r="E283" s="2">
        <v>5142000</v>
      </c>
      <c r="F283" s="2">
        <v>449360.56</v>
      </c>
      <c r="G283" s="2">
        <v>378891.15</v>
      </c>
      <c r="H283" s="2">
        <v>62525.5</v>
      </c>
      <c r="I283" s="2">
        <v>3039.35</v>
      </c>
      <c r="J283">
        <v>38</v>
      </c>
      <c r="K283">
        <v>0</v>
      </c>
      <c r="L283">
        <v>91</v>
      </c>
      <c r="M283">
        <v>2</v>
      </c>
      <c r="N283">
        <v>10</v>
      </c>
      <c r="O283" s="2">
        <v>18734.32</v>
      </c>
      <c r="P283" s="2">
        <v>104.83</v>
      </c>
      <c r="Q283" s="2">
        <v>107.58</v>
      </c>
    </row>
    <row r="284" spans="1:17" x14ac:dyDescent="0.45">
      <c r="A284" s="1">
        <v>44197</v>
      </c>
      <c r="B284">
        <v>2021</v>
      </c>
      <c r="C284">
        <v>4</v>
      </c>
      <c r="D284" t="s">
        <v>27</v>
      </c>
      <c r="E284" s="2">
        <v>25000000</v>
      </c>
      <c r="F284" s="2">
        <v>2070400.89</v>
      </c>
      <c r="G284" s="2">
        <v>1505472.56</v>
      </c>
      <c r="H284" s="2">
        <v>389237.79</v>
      </c>
      <c r="I284" s="2">
        <v>26618.3</v>
      </c>
      <c r="J284">
        <v>198</v>
      </c>
      <c r="K284">
        <v>17</v>
      </c>
      <c r="L284">
        <v>745</v>
      </c>
      <c r="M284">
        <v>5</v>
      </c>
      <c r="N284">
        <v>26</v>
      </c>
      <c r="O284" s="2">
        <v>231951.51</v>
      </c>
      <c r="P284" s="2">
        <v>99.77</v>
      </c>
      <c r="Q284" s="2">
        <v>99.6</v>
      </c>
    </row>
    <row r="285" spans="1:17" x14ac:dyDescent="0.45">
      <c r="A285" s="1">
        <v>45505</v>
      </c>
      <c r="B285">
        <v>2024</v>
      </c>
      <c r="C285">
        <v>11</v>
      </c>
      <c r="D285" t="s">
        <v>22</v>
      </c>
      <c r="E285" s="2">
        <v>6874000</v>
      </c>
      <c r="F285" s="2">
        <v>559476.39</v>
      </c>
      <c r="G285" s="2">
        <v>292379.48</v>
      </c>
      <c r="H285" s="2">
        <v>229122.36</v>
      </c>
      <c r="I285" s="2">
        <v>27927.08</v>
      </c>
      <c r="J285">
        <v>31</v>
      </c>
      <c r="K285">
        <v>5</v>
      </c>
      <c r="L285">
        <v>56</v>
      </c>
      <c r="M285">
        <v>3</v>
      </c>
      <c r="N285">
        <v>16</v>
      </c>
      <c r="O285" s="2">
        <v>56276.36</v>
      </c>
      <c r="P285" s="2">
        <v>102.34</v>
      </c>
      <c r="Q285" s="2">
        <v>113.42</v>
      </c>
    </row>
    <row r="286" spans="1:17" x14ac:dyDescent="0.45">
      <c r="A286" s="1">
        <v>45474</v>
      </c>
      <c r="B286">
        <v>2024</v>
      </c>
      <c r="C286">
        <v>10</v>
      </c>
      <c r="D286" t="s">
        <v>27</v>
      </c>
      <c r="E286" s="2">
        <v>27718000</v>
      </c>
      <c r="F286" s="2">
        <v>2300881.38</v>
      </c>
      <c r="G286" s="2">
        <v>1821409.55</v>
      </c>
      <c r="H286" s="2">
        <v>461921.92</v>
      </c>
      <c r="I286" s="2">
        <v>41590.239999999998</v>
      </c>
      <c r="J286">
        <v>207</v>
      </c>
      <c r="K286">
        <v>14</v>
      </c>
      <c r="L286">
        <v>887</v>
      </c>
      <c r="M286">
        <v>7</v>
      </c>
      <c r="N286">
        <v>32</v>
      </c>
      <c r="O286" s="2">
        <v>628416.42000000004</v>
      </c>
      <c r="P286" s="2">
        <v>104.66</v>
      </c>
      <c r="Q286" s="2">
        <v>112.36</v>
      </c>
    </row>
    <row r="287" spans="1:17" x14ac:dyDescent="0.45">
      <c r="A287" s="1">
        <v>44440</v>
      </c>
      <c r="B287">
        <v>2021</v>
      </c>
      <c r="C287">
        <v>12</v>
      </c>
      <c r="D287" t="s">
        <v>18</v>
      </c>
      <c r="E287" s="2">
        <v>3500000</v>
      </c>
      <c r="F287" s="2">
        <v>304141.73</v>
      </c>
      <c r="G287" s="2">
        <v>255416.22</v>
      </c>
      <c r="H287" s="2">
        <v>42480.87</v>
      </c>
      <c r="I287" s="2">
        <v>1964.41</v>
      </c>
      <c r="J287">
        <v>27</v>
      </c>
      <c r="K287">
        <v>4</v>
      </c>
      <c r="L287">
        <v>35</v>
      </c>
      <c r="M287">
        <v>3</v>
      </c>
      <c r="N287">
        <v>11</v>
      </c>
      <c r="O287" s="2">
        <v>31711.61</v>
      </c>
      <c r="P287" s="2">
        <v>111.7</v>
      </c>
      <c r="Q287" s="2">
        <v>101.86</v>
      </c>
    </row>
    <row r="288" spans="1:17" x14ac:dyDescent="0.45">
      <c r="A288" s="1">
        <v>45200</v>
      </c>
      <c r="B288">
        <v>2024</v>
      </c>
      <c r="C288">
        <v>1</v>
      </c>
      <c r="D288" t="s">
        <v>23</v>
      </c>
      <c r="E288" s="2">
        <v>21066000</v>
      </c>
      <c r="F288" s="2">
        <v>2375671.9500000002</v>
      </c>
      <c r="G288" s="2">
        <v>802953.71</v>
      </c>
      <c r="H288" s="2">
        <v>977439.64</v>
      </c>
      <c r="I288" s="2">
        <v>485414.15</v>
      </c>
      <c r="J288">
        <v>96</v>
      </c>
      <c r="K288">
        <v>9</v>
      </c>
      <c r="L288">
        <v>496</v>
      </c>
      <c r="M288">
        <v>5</v>
      </c>
      <c r="N288">
        <v>31</v>
      </c>
      <c r="O288" s="2">
        <v>248872.79</v>
      </c>
      <c r="P288" s="2">
        <v>99.69</v>
      </c>
      <c r="Q288" s="2">
        <v>110</v>
      </c>
    </row>
    <row r="289" spans="1:17" x14ac:dyDescent="0.45">
      <c r="A289" s="1">
        <v>44287</v>
      </c>
      <c r="B289">
        <v>2021</v>
      </c>
      <c r="C289">
        <v>7</v>
      </c>
      <c r="D289" t="s">
        <v>28</v>
      </c>
      <c r="E289" s="2">
        <v>22000000</v>
      </c>
      <c r="F289" s="2">
        <v>1840670.48</v>
      </c>
      <c r="G289" s="2">
        <v>1468650.55</v>
      </c>
      <c r="H289" s="2">
        <v>349279.29</v>
      </c>
      <c r="I289" s="2">
        <v>63334</v>
      </c>
      <c r="J289">
        <v>177</v>
      </c>
      <c r="K289">
        <v>15</v>
      </c>
      <c r="L289">
        <v>993</v>
      </c>
      <c r="M289">
        <v>10</v>
      </c>
      <c r="N289">
        <v>35</v>
      </c>
      <c r="O289" s="2">
        <v>480907.45</v>
      </c>
      <c r="P289" s="2">
        <v>103.77</v>
      </c>
      <c r="Q289" s="2">
        <v>100.64</v>
      </c>
    </row>
    <row r="290" spans="1:17" x14ac:dyDescent="0.45">
      <c r="A290" s="1">
        <v>44501</v>
      </c>
      <c r="B290">
        <v>2022</v>
      </c>
      <c r="C290">
        <v>2</v>
      </c>
      <c r="D290" t="s">
        <v>28</v>
      </c>
      <c r="E290" s="2">
        <v>22770000</v>
      </c>
      <c r="F290" s="2">
        <v>1923591.75</v>
      </c>
      <c r="G290" s="2">
        <v>1527930.6</v>
      </c>
      <c r="H290" s="2">
        <v>400644.71</v>
      </c>
      <c r="I290" s="2">
        <v>59635.08</v>
      </c>
      <c r="J290">
        <v>174</v>
      </c>
      <c r="K290">
        <v>12</v>
      </c>
      <c r="L290">
        <v>734</v>
      </c>
      <c r="M290">
        <v>8</v>
      </c>
      <c r="N290">
        <v>34</v>
      </c>
      <c r="O290" s="2"/>
      <c r="P290" s="2">
        <v>108.88</v>
      </c>
      <c r="Q290" s="2">
        <v>103.33</v>
      </c>
    </row>
    <row r="291" spans="1:17" x14ac:dyDescent="0.45">
      <c r="A291" s="1">
        <v>45261</v>
      </c>
      <c r="B291">
        <v>2024</v>
      </c>
      <c r="C291">
        <v>3</v>
      </c>
      <c r="D291" t="s">
        <v>21</v>
      </c>
      <c r="E291" s="2">
        <v>8870000</v>
      </c>
      <c r="F291" s="2">
        <v>762062.26</v>
      </c>
      <c r="G291" s="2">
        <v>488321.72</v>
      </c>
      <c r="H291" s="2">
        <v>262589.65999999997</v>
      </c>
      <c r="I291" s="2">
        <v>15552.43</v>
      </c>
      <c r="J291">
        <v>66</v>
      </c>
      <c r="K291">
        <v>7</v>
      </c>
      <c r="L291">
        <v>94</v>
      </c>
      <c r="M291">
        <v>4</v>
      </c>
      <c r="N291">
        <v>19</v>
      </c>
      <c r="O291" s="2"/>
      <c r="P291" s="2">
        <v>101.58</v>
      </c>
      <c r="Q291" s="2">
        <v>110.92</v>
      </c>
    </row>
    <row r="292" spans="1:17" x14ac:dyDescent="0.45">
      <c r="A292" s="1">
        <v>44927</v>
      </c>
      <c r="B292">
        <v>2023</v>
      </c>
      <c r="C292">
        <v>4</v>
      </c>
      <c r="D292" t="s">
        <v>25</v>
      </c>
      <c r="E292" s="2">
        <v>4499000</v>
      </c>
      <c r="F292" s="2">
        <v>407333.69</v>
      </c>
      <c r="G292" s="2">
        <v>302678.28000000003</v>
      </c>
      <c r="H292" s="2">
        <v>57527.94</v>
      </c>
      <c r="I292" s="2">
        <v>42736.76</v>
      </c>
      <c r="J292">
        <v>31</v>
      </c>
      <c r="K292">
        <v>6</v>
      </c>
      <c r="L292">
        <v>44</v>
      </c>
      <c r="M292">
        <v>2</v>
      </c>
      <c r="N292">
        <v>11</v>
      </c>
      <c r="O292" s="2">
        <v>21995.68</v>
      </c>
      <c r="P292" s="2">
        <v>108</v>
      </c>
      <c r="Q292" s="2">
        <v>107.25</v>
      </c>
    </row>
    <row r="293" spans="1:17" x14ac:dyDescent="0.45">
      <c r="A293" s="1">
        <v>45809</v>
      </c>
      <c r="B293">
        <v>2025</v>
      </c>
      <c r="C293">
        <v>9</v>
      </c>
      <c r="D293" t="s">
        <v>23</v>
      </c>
      <c r="E293" s="2">
        <v>21803000</v>
      </c>
      <c r="F293" s="2">
        <v>2164350.67</v>
      </c>
      <c r="G293" s="2">
        <v>895433.77</v>
      </c>
      <c r="H293" s="2">
        <v>811990.28</v>
      </c>
      <c r="I293" s="2">
        <v>340604.73</v>
      </c>
      <c r="J293">
        <v>100</v>
      </c>
      <c r="K293">
        <v>6</v>
      </c>
      <c r="L293">
        <v>477</v>
      </c>
      <c r="M293">
        <v>6</v>
      </c>
      <c r="N293">
        <v>30</v>
      </c>
      <c r="O293" s="2">
        <v>307164.15000000002</v>
      </c>
      <c r="P293" s="2">
        <v>116.96</v>
      </c>
      <c r="Q293" s="2">
        <v>117.29</v>
      </c>
    </row>
    <row r="294" spans="1:17" x14ac:dyDescent="0.45">
      <c r="A294" s="1">
        <v>45108</v>
      </c>
      <c r="B294">
        <v>2023</v>
      </c>
      <c r="C294">
        <v>10</v>
      </c>
      <c r="D294" t="s">
        <v>24</v>
      </c>
      <c r="E294" s="2">
        <v>14462000</v>
      </c>
      <c r="F294" s="2">
        <v>1102514.31</v>
      </c>
      <c r="G294" s="2">
        <v>562688.30000000005</v>
      </c>
      <c r="H294" s="2">
        <v>447924.09</v>
      </c>
      <c r="I294" s="2">
        <v>77349.09</v>
      </c>
      <c r="J294">
        <v>76</v>
      </c>
      <c r="K294">
        <v>6</v>
      </c>
      <c r="L294">
        <v>109</v>
      </c>
      <c r="M294">
        <v>4</v>
      </c>
      <c r="N294">
        <v>21</v>
      </c>
      <c r="O294" s="2">
        <v>134322.13</v>
      </c>
      <c r="P294" s="2">
        <v>102.19</v>
      </c>
      <c r="Q294" s="2">
        <v>109.35</v>
      </c>
    </row>
    <row r="295" spans="1:17" x14ac:dyDescent="0.45">
      <c r="A295" s="1">
        <v>44986</v>
      </c>
      <c r="B295">
        <v>2023</v>
      </c>
      <c r="C295">
        <v>6</v>
      </c>
      <c r="D295" t="s">
        <v>25</v>
      </c>
      <c r="E295" s="2">
        <v>4499000</v>
      </c>
      <c r="F295" s="2">
        <v>365981.27</v>
      </c>
      <c r="G295" s="2">
        <v>292867.74</v>
      </c>
      <c r="H295" s="2">
        <v>61325.599999999999</v>
      </c>
      <c r="I295" s="2">
        <v>4410.37</v>
      </c>
      <c r="J295">
        <v>31</v>
      </c>
      <c r="K295">
        <v>5</v>
      </c>
      <c r="L295">
        <v>27</v>
      </c>
      <c r="M295">
        <v>1</v>
      </c>
      <c r="N295">
        <v>14</v>
      </c>
      <c r="O295" s="2">
        <v>22076.71</v>
      </c>
      <c r="P295" s="2">
        <v>104</v>
      </c>
      <c r="Q295" s="2">
        <v>108.48</v>
      </c>
    </row>
    <row r="296" spans="1:17" x14ac:dyDescent="0.45">
      <c r="A296" s="1">
        <v>44896</v>
      </c>
      <c r="B296">
        <v>2023</v>
      </c>
      <c r="C296">
        <v>3</v>
      </c>
      <c r="D296" t="s">
        <v>22</v>
      </c>
      <c r="E296" s="2">
        <v>6642000</v>
      </c>
      <c r="F296" s="2">
        <v>632970.69999999995</v>
      </c>
      <c r="G296" s="2">
        <v>286428.53000000003</v>
      </c>
      <c r="H296" s="2">
        <v>308650.56</v>
      </c>
      <c r="I296" s="2">
        <v>23155.85</v>
      </c>
      <c r="J296">
        <v>31</v>
      </c>
      <c r="K296">
        <v>2</v>
      </c>
      <c r="L296">
        <v>72</v>
      </c>
      <c r="M296">
        <v>4</v>
      </c>
      <c r="N296">
        <v>18</v>
      </c>
      <c r="O296" s="2">
        <v>63997.89</v>
      </c>
      <c r="P296" s="2">
        <v>107.81</v>
      </c>
      <c r="Q296" s="2">
        <v>106.46</v>
      </c>
    </row>
    <row r="297" spans="1:17" x14ac:dyDescent="0.45">
      <c r="A297" s="1">
        <v>45839</v>
      </c>
      <c r="B297">
        <v>2025</v>
      </c>
      <c r="C297">
        <v>10</v>
      </c>
      <c r="D297" t="s">
        <v>23</v>
      </c>
      <c r="E297" s="2">
        <v>21803000</v>
      </c>
      <c r="F297" s="2">
        <v>1715517.96</v>
      </c>
      <c r="G297" s="2">
        <v>882556.43</v>
      </c>
      <c r="H297" s="2">
        <v>784761.27</v>
      </c>
      <c r="I297" s="2">
        <v>122441.04</v>
      </c>
      <c r="J297">
        <v>98</v>
      </c>
      <c r="K297">
        <v>5</v>
      </c>
      <c r="L297">
        <v>428</v>
      </c>
      <c r="M297">
        <v>5</v>
      </c>
      <c r="N297">
        <v>26</v>
      </c>
      <c r="O297" s="2">
        <v>287072</v>
      </c>
      <c r="P297" s="2">
        <v>119.67</v>
      </c>
      <c r="Q297" s="2">
        <v>117.95</v>
      </c>
    </row>
    <row r="298" spans="1:17" x14ac:dyDescent="0.45">
      <c r="A298" s="1">
        <v>45413</v>
      </c>
      <c r="B298">
        <v>2024</v>
      </c>
      <c r="C298">
        <v>8</v>
      </c>
      <c r="D298" t="s">
        <v>23</v>
      </c>
      <c r="E298" s="2">
        <v>21066000</v>
      </c>
      <c r="F298" s="2">
        <v>1923864.66</v>
      </c>
      <c r="G298" s="2">
        <v>796996.33</v>
      </c>
      <c r="H298" s="2">
        <v>829762.56000000006</v>
      </c>
      <c r="I298" s="2">
        <v>335660.71</v>
      </c>
      <c r="J298">
        <v>100</v>
      </c>
      <c r="K298">
        <v>5</v>
      </c>
      <c r="L298">
        <v>392</v>
      </c>
      <c r="M298">
        <v>6</v>
      </c>
      <c r="N298">
        <v>22</v>
      </c>
      <c r="O298" s="2">
        <v>230396.36</v>
      </c>
      <c r="P298" s="2">
        <v>103.09</v>
      </c>
      <c r="Q298" s="2">
        <v>112.35</v>
      </c>
    </row>
    <row r="299" spans="1:17" x14ac:dyDescent="0.45">
      <c r="A299" s="1">
        <v>45748</v>
      </c>
      <c r="B299">
        <v>2025</v>
      </c>
      <c r="C299">
        <v>7</v>
      </c>
      <c r="D299" t="s">
        <v>18</v>
      </c>
      <c r="E299" s="2">
        <v>4016000</v>
      </c>
      <c r="F299" s="2">
        <v>371151.27</v>
      </c>
      <c r="G299" s="2">
        <v>304771.93</v>
      </c>
      <c r="H299" s="2">
        <v>50666.89</v>
      </c>
      <c r="I299" s="2">
        <v>19027.830000000002</v>
      </c>
      <c r="J299">
        <v>28</v>
      </c>
      <c r="K299">
        <v>4</v>
      </c>
      <c r="L299">
        <v>30</v>
      </c>
      <c r="M299">
        <v>3</v>
      </c>
      <c r="N299">
        <v>17</v>
      </c>
      <c r="O299" s="2">
        <v>40500.29</v>
      </c>
      <c r="P299" s="2">
        <v>116.87</v>
      </c>
      <c r="Q299" s="2">
        <v>116.25</v>
      </c>
    </row>
    <row r="300" spans="1:17" x14ac:dyDescent="0.45">
      <c r="A300" s="1">
        <v>45778</v>
      </c>
      <c r="B300">
        <v>2025</v>
      </c>
      <c r="C300">
        <v>8</v>
      </c>
      <c r="D300" t="s">
        <v>17</v>
      </c>
      <c r="E300" s="2">
        <v>8377000</v>
      </c>
      <c r="F300" s="2">
        <v>681791.99</v>
      </c>
      <c r="G300" s="2">
        <v>350159.51</v>
      </c>
      <c r="H300" s="2">
        <v>307156.73</v>
      </c>
      <c r="I300" s="2">
        <v>14307.44</v>
      </c>
      <c r="J300">
        <v>43</v>
      </c>
      <c r="K300">
        <v>0</v>
      </c>
      <c r="L300">
        <v>36</v>
      </c>
      <c r="M300">
        <v>2</v>
      </c>
      <c r="N300">
        <v>11</v>
      </c>
      <c r="O300" s="2">
        <v>51698.91</v>
      </c>
      <c r="P300" s="2">
        <v>111.14</v>
      </c>
      <c r="Q300" s="2">
        <v>117</v>
      </c>
    </row>
    <row r="301" spans="1:17" x14ac:dyDescent="0.45">
      <c r="A301" s="1">
        <v>44743</v>
      </c>
      <c r="B301">
        <v>2022</v>
      </c>
      <c r="C301">
        <v>10</v>
      </c>
      <c r="D301" t="s">
        <v>28</v>
      </c>
      <c r="E301" s="2">
        <v>22770000</v>
      </c>
      <c r="F301" s="2">
        <v>1873208.24</v>
      </c>
      <c r="G301" s="2">
        <v>1501731.18</v>
      </c>
      <c r="H301" s="2">
        <v>371253.25</v>
      </c>
      <c r="I301" s="2">
        <v>31114.43</v>
      </c>
      <c r="J301">
        <v>178</v>
      </c>
      <c r="K301">
        <v>13</v>
      </c>
      <c r="L301">
        <v>687</v>
      </c>
      <c r="M301">
        <v>7</v>
      </c>
      <c r="N301">
        <v>30</v>
      </c>
      <c r="O301" s="2">
        <v>335189.87</v>
      </c>
      <c r="P301" s="2">
        <v>108.2</v>
      </c>
      <c r="Q301" s="2">
        <v>104.58</v>
      </c>
    </row>
    <row r="302" spans="1:17" x14ac:dyDescent="0.45">
      <c r="A302" s="1">
        <v>44440</v>
      </c>
      <c r="B302">
        <v>2021</v>
      </c>
      <c r="C302">
        <v>12</v>
      </c>
      <c r="D302" t="s">
        <v>28</v>
      </c>
      <c r="E302" s="2">
        <v>22000000</v>
      </c>
      <c r="F302" s="2">
        <v>1868544.06</v>
      </c>
      <c r="G302" s="2">
        <v>1427517.39</v>
      </c>
      <c r="H302" s="2">
        <v>376112.35</v>
      </c>
      <c r="I302" s="2">
        <v>55207.13</v>
      </c>
      <c r="J302">
        <v>173</v>
      </c>
      <c r="K302">
        <v>15</v>
      </c>
      <c r="L302">
        <v>590</v>
      </c>
      <c r="M302">
        <v>8</v>
      </c>
      <c r="N302">
        <v>34</v>
      </c>
      <c r="O302" s="2">
        <v>326924.09000000003</v>
      </c>
      <c r="P302" s="2">
        <v>109.5</v>
      </c>
      <c r="Q302" s="2">
        <v>102.64</v>
      </c>
    </row>
    <row r="303" spans="1:17" x14ac:dyDescent="0.45">
      <c r="A303" s="1">
        <v>44440</v>
      </c>
      <c r="B303">
        <v>2021</v>
      </c>
      <c r="C303">
        <v>12</v>
      </c>
      <c r="D303" t="s">
        <v>17</v>
      </c>
      <c r="E303" s="2">
        <v>7300000</v>
      </c>
      <c r="F303" s="2">
        <v>588106.22</v>
      </c>
      <c r="G303" s="2">
        <v>301718.83</v>
      </c>
      <c r="H303" s="2">
        <v>253707.59</v>
      </c>
      <c r="I303" s="2">
        <v>39315.26</v>
      </c>
      <c r="J303">
        <v>43</v>
      </c>
      <c r="K303">
        <v>6</v>
      </c>
      <c r="L303">
        <v>22</v>
      </c>
      <c r="M303">
        <v>4</v>
      </c>
      <c r="N303">
        <v>18</v>
      </c>
      <c r="O303" s="2">
        <v>71731.37</v>
      </c>
      <c r="P303" s="2">
        <v>115.08</v>
      </c>
      <c r="Q303" s="2">
        <v>102.24</v>
      </c>
    </row>
    <row r="304" spans="1:17" x14ac:dyDescent="0.45">
      <c r="A304" s="1">
        <v>45231</v>
      </c>
      <c r="B304">
        <v>2024</v>
      </c>
      <c r="C304">
        <v>2</v>
      </c>
      <c r="D304" t="s">
        <v>22</v>
      </c>
      <c r="E304" s="2">
        <v>6874000</v>
      </c>
      <c r="F304" s="2">
        <v>607386.64</v>
      </c>
      <c r="G304" s="2">
        <v>299411.63</v>
      </c>
      <c r="H304" s="2">
        <v>276577.53999999998</v>
      </c>
      <c r="I304" s="2">
        <v>21702.23</v>
      </c>
      <c r="J304">
        <v>31</v>
      </c>
      <c r="K304">
        <v>2</v>
      </c>
      <c r="L304">
        <v>56</v>
      </c>
      <c r="M304">
        <v>1</v>
      </c>
      <c r="N304">
        <v>7</v>
      </c>
      <c r="O304" s="2">
        <v>19457.2</v>
      </c>
      <c r="P304" s="2">
        <v>104.67</v>
      </c>
      <c r="Q304" s="2">
        <v>110.24</v>
      </c>
    </row>
    <row r="305" spans="1:17" x14ac:dyDescent="0.45">
      <c r="A305" s="1">
        <v>45901</v>
      </c>
      <c r="B305">
        <v>2025</v>
      </c>
      <c r="C305">
        <v>12</v>
      </c>
      <c r="D305" t="s">
        <v>17</v>
      </c>
      <c r="E305" s="2">
        <v>8377000</v>
      </c>
      <c r="F305" s="2">
        <v>699913.93</v>
      </c>
      <c r="G305" s="2">
        <v>359180.69</v>
      </c>
      <c r="H305" s="2">
        <v>299040.18</v>
      </c>
      <c r="I305" s="2">
        <v>37131.019999999997</v>
      </c>
      <c r="J305">
        <v>44</v>
      </c>
      <c r="K305">
        <v>3</v>
      </c>
      <c r="L305">
        <v>26</v>
      </c>
      <c r="M305">
        <v>2</v>
      </c>
      <c r="N305">
        <v>19</v>
      </c>
      <c r="O305" s="2">
        <v>45467.79</v>
      </c>
      <c r="P305" s="2">
        <v>121.19</v>
      </c>
      <c r="Q305" s="2">
        <v>117.82</v>
      </c>
    </row>
    <row r="306" spans="1:17" x14ac:dyDescent="0.45">
      <c r="A306" s="1">
        <v>44743</v>
      </c>
      <c r="B306">
        <v>2022</v>
      </c>
      <c r="C306">
        <v>10</v>
      </c>
      <c r="D306" t="s">
        <v>18</v>
      </c>
      <c r="E306" s="2">
        <v>3622000</v>
      </c>
      <c r="F306" s="2">
        <v>306741.24</v>
      </c>
      <c r="G306" s="2">
        <v>258331.42</v>
      </c>
      <c r="H306" s="2">
        <v>39861.919999999998</v>
      </c>
      <c r="I306" s="2">
        <v>7285.32</v>
      </c>
      <c r="J306">
        <v>28</v>
      </c>
      <c r="L306">
        <v>38</v>
      </c>
      <c r="M306">
        <v>3</v>
      </c>
      <c r="N306">
        <v>13</v>
      </c>
      <c r="O306" s="2">
        <v>30905.64</v>
      </c>
      <c r="P306" s="2">
        <v>106.71</v>
      </c>
      <c r="Q306" s="2">
        <v>105.21</v>
      </c>
    </row>
    <row r="307" spans="1:17" x14ac:dyDescent="0.45">
      <c r="A307" s="1">
        <v>45505</v>
      </c>
      <c r="B307">
        <v>2024</v>
      </c>
      <c r="C307">
        <v>11</v>
      </c>
      <c r="D307" t="s">
        <v>23</v>
      </c>
      <c r="E307" s="2">
        <v>21066000</v>
      </c>
      <c r="F307" s="2">
        <v>1472647.44</v>
      </c>
      <c r="G307" s="2">
        <v>772481.4</v>
      </c>
      <c r="H307" s="2">
        <v>597298.31000000006</v>
      </c>
      <c r="I307" s="2">
        <v>92097.84</v>
      </c>
      <c r="J307">
        <v>95</v>
      </c>
      <c r="K307">
        <v>8</v>
      </c>
      <c r="L307">
        <v>366</v>
      </c>
      <c r="M307">
        <v>7</v>
      </c>
      <c r="N307">
        <v>24</v>
      </c>
      <c r="O307" s="2">
        <v>403207.83</v>
      </c>
      <c r="P307" s="2">
        <v>102.89</v>
      </c>
      <c r="Q307" s="2">
        <v>113.06</v>
      </c>
    </row>
    <row r="308" spans="1:17" x14ac:dyDescent="0.45">
      <c r="A308" s="1">
        <v>44593</v>
      </c>
      <c r="B308">
        <v>2022</v>
      </c>
      <c r="C308">
        <v>5</v>
      </c>
      <c r="D308" t="s">
        <v>29</v>
      </c>
      <c r="E308" s="2">
        <v>22770000</v>
      </c>
      <c r="F308" s="2">
        <v>1903467.54</v>
      </c>
      <c r="G308" s="2">
        <v>1598828.65</v>
      </c>
      <c r="H308" s="2">
        <v>363064.78</v>
      </c>
      <c r="I308" s="2">
        <v>38647.11</v>
      </c>
      <c r="J308">
        <v>180</v>
      </c>
      <c r="K308">
        <v>9</v>
      </c>
      <c r="L308">
        <v>851</v>
      </c>
      <c r="M308">
        <v>8</v>
      </c>
      <c r="N308">
        <v>33</v>
      </c>
      <c r="O308" s="2">
        <v>549569.73</v>
      </c>
      <c r="P308" s="2">
        <v>112.04</v>
      </c>
      <c r="Q308" s="2">
        <v>102.9</v>
      </c>
    </row>
    <row r="309" spans="1:17" x14ac:dyDescent="0.45">
      <c r="A309" s="1">
        <v>45200</v>
      </c>
      <c r="B309">
        <v>2024</v>
      </c>
      <c r="C309">
        <v>1</v>
      </c>
      <c r="D309" t="s">
        <v>24</v>
      </c>
      <c r="E309" s="2">
        <v>14968000</v>
      </c>
      <c r="F309" s="2">
        <v>1240184.1100000001</v>
      </c>
      <c r="G309" s="2">
        <v>631408.47</v>
      </c>
      <c r="H309" s="2">
        <v>564338.66</v>
      </c>
      <c r="I309" s="2">
        <v>82238.11</v>
      </c>
      <c r="J309">
        <v>80</v>
      </c>
      <c r="K309">
        <v>1</v>
      </c>
      <c r="L309">
        <v>90</v>
      </c>
      <c r="M309">
        <v>5</v>
      </c>
      <c r="N309">
        <v>24</v>
      </c>
      <c r="O309" s="2">
        <v>144885.06</v>
      </c>
      <c r="P309" s="2">
        <v>101.23</v>
      </c>
      <c r="Q309" s="2">
        <v>111.24</v>
      </c>
    </row>
    <row r="310" spans="1:17" x14ac:dyDescent="0.45">
      <c r="A310" s="1">
        <v>44348</v>
      </c>
      <c r="B310">
        <v>2021</v>
      </c>
      <c r="C310">
        <v>9</v>
      </c>
      <c r="D310" t="s">
        <v>24</v>
      </c>
      <c r="E310" s="2">
        <v>13500000</v>
      </c>
      <c r="F310" s="2">
        <v>1234596.2</v>
      </c>
      <c r="G310" s="2">
        <v>532377.59999999998</v>
      </c>
      <c r="H310" s="2">
        <v>496014.49</v>
      </c>
      <c r="I310" s="2">
        <v>208706.06</v>
      </c>
      <c r="J310">
        <v>79</v>
      </c>
      <c r="K310">
        <v>5</v>
      </c>
      <c r="L310">
        <v>75</v>
      </c>
      <c r="M310">
        <v>5</v>
      </c>
      <c r="N310">
        <v>25</v>
      </c>
      <c r="O310" s="2">
        <v>133777.89000000001</v>
      </c>
      <c r="P310" s="2">
        <v>106.8</v>
      </c>
      <c r="Q310" s="2">
        <v>100.52</v>
      </c>
    </row>
    <row r="311" spans="1:17" x14ac:dyDescent="0.45">
      <c r="A311" s="1">
        <v>44440</v>
      </c>
      <c r="B311">
        <v>2021</v>
      </c>
      <c r="C311">
        <v>12</v>
      </c>
      <c r="D311" t="s">
        <v>16</v>
      </c>
      <c r="E311" s="2">
        <v>6200000</v>
      </c>
      <c r="F311" s="2">
        <v>462939.16</v>
      </c>
      <c r="G311" s="2">
        <v>249393.34</v>
      </c>
      <c r="H311" s="2">
        <v>208449.55</v>
      </c>
      <c r="I311" s="2">
        <v>14829.34</v>
      </c>
      <c r="J311">
        <v>30</v>
      </c>
      <c r="K311">
        <v>5</v>
      </c>
      <c r="L311">
        <v>67</v>
      </c>
      <c r="M311">
        <v>5</v>
      </c>
      <c r="N311">
        <v>22</v>
      </c>
      <c r="O311" s="2">
        <v>64015.63</v>
      </c>
      <c r="P311" s="2">
        <v>110.01</v>
      </c>
      <c r="Q311" s="2">
        <v>102.43</v>
      </c>
    </row>
    <row r="312" spans="1:17" x14ac:dyDescent="0.45">
      <c r="A312" s="1">
        <v>44501</v>
      </c>
      <c r="B312">
        <v>2022</v>
      </c>
      <c r="C312">
        <v>2</v>
      </c>
      <c r="D312" t="s">
        <v>25</v>
      </c>
      <c r="E312" s="2">
        <v>4347000</v>
      </c>
      <c r="F312" s="2">
        <v>385758.09</v>
      </c>
      <c r="G312" s="2">
        <v>305134.8</v>
      </c>
      <c r="H312" s="2">
        <v>64921.22</v>
      </c>
      <c r="I312" s="2">
        <v>4822.6000000000004</v>
      </c>
      <c r="J312">
        <v>32</v>
      </c>
      <c r="K312">
        <v>6</v>
      </c>
      <c r="L312">
        <v>56</v>
      </c>
      <c r="M312">
        <v>4</v>
      </c>
      <c r="N312">
        <v>16</v>
      </c>
      <c r="O312" s="2">
        <v>53844.55</v>
      </c>
      <c r="P312" s="2">
        <v>110.43</v>
      </c>
      <c r="Q312" s="2">
        <v>102.27</v>
      </c>
    </row>
    <row r="313" spans="1:17" x14ac:dyDescent="0.45">
      <c r="A313" s="1">
        <v>45261</v>
      </c>
      <c r="B313">
        <v>2024</v>
      </c>
      <c r="C313">
        <v>3</v>
      </c>
      <c r="D313" t="s">
        <v>23</v>
      </c>
      <c r="E313" s="2">
        <v>21066000</v>
      </c>
      <c r="F313" s="2">
        <v>2400708.29</v>
      </c>
      <c r="G313" s="2">
        <v>847805.96</v>
      </c>
      <c r="H313" s="2">
        <v>1150748.6000000001</v>
      </c>
      <c r="I313" s="2">
        <v>469213.92</v>
      </c>
      <c r="J313">
        <v>94</v>
      </c>
      <c r="K313">
        <v>6</v>
      </c>
      <c r="L313">
        <v>437</v>
      </c>
      <c r="M313">
        <v>9</v>
      </c>
      <c r="N313">
        <v>35</v>
      </c>
      <c r="O313" s="2">
        <v>415625.55</v>
      </c>
      <c r="P313" s="2">
        <v>102.47</v>
      </c>
      <c r="Q313" s="2">
        <v>110.86</v>
      </c>
    </row>
    <row r="314" spans="1:17" x14ac:dyDescent="0.45">
      <c r="A314" s="1">
        <v>45597</v>
      </c>
      <c r="B314">
        <v>2025</v>
      </c>
      <c r="C314">
        <v>2</v>
      </c>
      <c r="D314" t="s">
        <v>22</v>
      </c>
      <c r="E314" s="2">
        <v>7115000</v>
      </c>
      <c r="F314" s="2">
        <v>705526.3</v>
      </c>
      <c r="G314" s="2">
        <v>291962.3</v>
      </c>
      <c r="H314" s="2">
        <v>267498.12</v>
      </c>
      <c r="I314" s="2">
        <v>154231.43</v>
      </c>
      <c r="J314">
        <v>30</v>
      </c>
      <c r="K314">
        <v>1</v>
      </c>
      <c r="L314">
        <v>9</v>
      </c>
      <c r="M314">
        <v>2</v>
      </c>
      <c r="N314">
        <v>11</v>
      </c>
      <c r="O314" s="2">
        <v>29725.96</v>
      </c>
      <c r="P314" s="2">
        <v>106.61</v>
      </c>
      <c r="Q314" s="2">
        <v>114.31</v>
      </c>
    </row>
    <row r="315" spans="1:17" x14ac:dyDescent="0.45">
      <c r="A315" s="1">
        <v>44562</v>
      </c>
      <c r="B315">
        <v>2022</v>
      </c>
      <c r="C315">
        <v>4</v>
      </c>
      <c r="D315" t="s">
        <v>27</v>
      </c>
      <c r="E315" s="2">
        <v>25875000</v>
      </c>
      <c r="F315" s="2">
        <v>2191830.84</v>
      </c>
      <c r="G315" s="2">
        <v>1712494.28</v>
      </c>
      <c r="H315" s="2">
        <v>462919.28</v>
      </c>
      <c r="I315" s="2">
        <v>44200.55</v>
      </c>
      <c r="J315">
        <v>213</v>
      </c>
      <c r="K315">
        <v>16</v>
      </c>
      <c r="L315">
        <v>843</v>
      </c>
      <c r="M315">
        <v>9</v>
      </c>
      <c r="N315">
        <v>33</v>
      </c>
      <c r="O315" s="2">
        <v>475919.42</v>
      </c>
      <c r="P315" s="2">
        <v>108.21</v>
      </c>
      <c r="Q315" s="2">
        <v>103.62</v>
      </c>
    </row>
    <row r="316" spans="1:17" x14ac:dyDescent="0.45">
      <c r="A316" s="1">
        <v>44470</v>
      </c>
      <c r="B316">
        <v>2022</v>
      </c>
      <c r="C316">
        <v>1</v>
      </c>
      <c r="D316" t="s">
        <v>19</v>
      </c>
      <c r="E316" s="2">
        <v>4968000</v>
      </c>
      <c r="F316" s="2">
        <v>424902.15</v>
      </c>
      <c r="G316" s="2">
        <v>341422.5</v>
      </c>
      <c r="H316" s="2">
        <v>71317.08</v>
      </c>
      <c r="I316" s="2">
        <v>8628.9500000000007</v>
      </c>
      <c r="J316">
        <v>35</v>
      </c>
      <c r="K316">
        <v>0</v>
      </c>
      <c r="L316">
        <v>73</v>
      </c>
      <c r="M316">
        <v>0</v>
      </c>
      <c r="N316">
        <v>9</v>
      </c>
      <c r="O316" s="2">
        <v>8206.33</v>
      </c>
      <c r="P316" s="2">
        <v>108.35</v>
      </c>
      <c r="Q316" s="2">
        <v>102.9</v>
      </c>
    </row>
    <row r="317" spans="1:17" x14ac:dyDescent="0.45">
      <c r="A317" s="1">
        <v>44805</v>
      </c>
      <c r="B317">
        <v>2022</v>
      </c>
      <c r="C317">
        <v>12</v>
      </c>
      <c r="D317" t="s">
        <v>24</v>
      </c>
      <c r="E317" s="2">
        <v>13972000</v>
      </c>
      <c r="F317" s="2">
        <v>1096352.53</v>
      </c>
      <c r="G317" s="2">
        <v>588589.96</v>
      </c>
      <c r="H317" s="2">
        <v>458347.26</v>
      </c>
      <c r="I317" s="2">
        <v>31973</v>
      </c>
      <c r="J317">
        <v>79</v>
      </c>
      <c r="K317">
        <v>3</v>
      </c>
      <c r="L317">
        <v>150</v>
      </c>
      <c r="M317">
        <v>7</v>
      </c>
      <c r="N317">
        <v>21</v>
      </c>
      <c r="O317" s="2">
        <v>282766.25</v>
      </c>
      <c r="P317" s="2">
        <v>107.59</v>
      </c>
      <c r="Q317" s="2">
        <v>105.92</v>
      </c>
    </row>
    <row r="318" spans="1:17" x14ac:dyDescent="0.45">
      <c r="A318" s="1">
        <v>44958</v>
      </c>
      <c r="B318">
        <v>2023</v>
      </c>
      <c r="C318">
        <v>5</v>
      </c>
      <c r="D318" t="s">
        <v>17</v>
      </c>
      <c r="E318" s="2">
        <v>7820000</v>
      </c>
      <c r="F318" s="2">
        <v>635438.54</v>
      </c>
      <c r="G318" s="2">
        <v>357123.82</v>
      </c>
      <c r="H318" s="2">
        <v>249376.94</v>
      </c>
      <c r="I318" s="2">
        <v>28057.78</v>
      </c>
      <c r="J318">
        <v>46</v>
      </c>
      <c r="K318">
        <v>3</v>
      </c>
      <c r="L318">
        <v>0</v>
      </c>
      <c r="M318">
        <v>0</v>
      </c>
      <c r="N318">
        <v>11</v>
      </c>
      <c r="O318" s="2">
        <v>13534.25</v>
      </c>
      <c r="P318" s="2">
        <v>107.39</v>
      </c>
      <c r="Q318" s="2">
        <v>108.46</v>
      </c>
    </row>
    <row r="319" spans="1:17" x14ac:dyDescent="0.45">
      <c r="A319" s="1">
        <v>45717</v>
      </c>
      <c r="B319">
        <v>2025</v>
      </c>
      <c r="C319">
        <v>6</v>
      </c>
      <c r="D319" t="s">
        <v>25</v>
      </c>
      <c r="E319" s="2">
        <v>4820000</v>
      </c>
      <c r="F319" s="2">
        <v>414678.17</v>
      </c>
      <c r="G319" s="2">
        <v>347971.61</v>
      </c>
      <c r="H319" s="2">
        <v>67281.08</v>
      </c>
      <c r="I319" s="2">
        <v>4361.8</v>
      </c>
      <c r="J319">
        <v>34</v>
      </c>
      <c r="K319">
        <v>1</v>
      </c>
      <c r="L319">
        <v>42</v>
      </c>
      <c r="M319">
        <v>4</v>
      </c>
      <c r="N319">
        <v>16</v>
      </c>
      <c r="O319" s="2">
        <v>54025.07</v>
      </c>
      <c r="P319" s="2">
        <v>112.57</v>
      </c>
      <c r="Q319" s="2">
        <v>115.84</v>
      </c>
    </row>
    <row r="320" spans="1:17" x14ac:dyDescent="0.45">
      <c r="A320" s="1">
        <v>44743</v>
      </c>
      <c r="B320">
        <v>2022</v>
      </c>
      <c r="C320">
        <v>10</v>
      </c>
      <c r="D320" t="s">
        <v>25</v>
      </c>
      <c r="E320" s="2">
        <v>4347000</v>
      </c>
      <c r="F320" s="2">
        <v>350896.04</v>
      </c>
      <c r="G320" s="2">
        <v>286749.49</v>
      </c>
      <c r="H320" s="2">
        <v>57696.39</v>
      </c>
      <c r="I320" s="2">
        <v>10005.26</v>
      </c>
      <c r="J320">
        <v>33</v>
      </c>
      <c r="K320">
        <v>4</v>
      </c>
      <c r="L320">
        <v>31</v>
      </c>
      <c r="M320">
        <v>1</v>
      </c>
      <c r="N320">
        <v>18</v>
      </c>
      <c r="O320" s="2">
        <v>21339.25</v>
      </c>
      <c r="P320" s="2">
        <v>108.24</v>
      </c>
      <c r="Q320" s="2">
        <v>104.31</v>
      </c>
    </row>
    <row r="321" spans="1:17" x14ac:dyDescent="0.45">
      <c r="A321" s="1">
        <v>44531</v>
      </c>
      <c r="B321">
        <v>2022</v>
      </c>
      <c r="C321">
        <v>3</v>
      </c>
      <c r="D321" t="s">
        <v>24</v>
      </c>
      <c r="E321" s="2">
        <v>13972000</v>
      </c>
      <c r="F321" s="2">
        <v>1188582.52</v>
      </c>
      <c r="G321" s="2">
        <v>584093</v>
      </c>
      <c r="H321" s="2">
        <v>583004.6</v>
      </c>
      <c r="I321" s="2">
        <v>56386.26</v>
      </c>
      <c r="J321">
        <v>82</v>
      </c>
      <c r="K321">
        <v>5</v>
      </c>
      <c r="L321">
        <v>151</v>
      </c>
      <c r="M321">
        <v>5</v>
      </c>
      <c r="N321">
        <v>23</v>
      </c>
      <c r="O321" s="2">
        <v>160694.35</v>
      </c>
      <c r="P321" s="2">
        <v>112.33</v>
      </c>
      <c r="Q321" s="2">
        <v>103.43</v>
      </c>
    </row>
    <row r="322" spans="1:17" x14ac:dyDescent="0.45">
      <c r="A322" s="1">
        <v>45778</v>
      </c>
      <c r="B322">
        <v>2025</v>
      </c>
      <c r="C322">
        <v>8</v>
      </c>
      <c r="D322" t="s">
        <v>22</v>
      </c>
      <c r="E322" s="2">
        <v>7115000</v>
      </c>
      <c r="F322" s="2">
        <v>572920.23</v>
      </c>
      <c r="G322" s="2">
        <v>329799.55</v>
      </c>
      <c r="H322" s="2">
        <v>237110.73</v>
      </c>
      <c r="I322" s="2">
        <v>16160.5</v>
      </c>
      <c r="J322">
        <v>33</v>
      </c>
      <c r="K322">
        <v>3</v>
      </c>
      <c r="L322">
        <v>52</v>
      </c>
      <c r="M322">
        <v>1</v>
      </c>
      <c r="N322">
        <v>10</v>
      </c>
      <c r="O322" s="2">
        <v>25908.57</v>
      </c>
      <c r="P322" s="2">
        <v>115.34</v>
      </c>
      <c r="Q322" s="2">
        <v>116.1</v>
      </c>
    </row>
    <row r="323" spans="1:17" x14ac:dyDescent="0.45">
      <c r="A323" s="1">
        <v>44682</v>
      </c>
      <c r="B323">
        <v>2022</v>
      </c>
      <c r="C323">
        <v>8</v>
      </c>
      <c r="D323" t="s">
        <v>24</v>
      </c>
      <c r="E323" s="2">
        <v>13972000</v>
      </c>
      <c r="F323" s="2">
        <v>1107859.27</v>
      </c>
      <c r="G323" s="2">
        <v>564748.78</v>
      </c>
      <c r="H323" s="2">
        <v>483566.17</v>
      </c>
      <c r="I323" s="2">
        <v>71590.05</v>
      </c>
      <c r="J323">
        <v>79</v>
      </c>
      <c r="K323">
        <v>8</v>
      </c>
      <c r="L323">
        <v>42</v>
      </c>
      <c r="M323">
        <v>5</v>
      </c>
      <c r="N323">
        <v>30</v>
      </c>
      <c r="O323" s="2">
        <v>240528.32</v>
      </c>
      <c r="P323" s="2">
        <v>110.73</v>
      </c>
      <c r="Q323" s="2">
        <v>103.92</v>
      </c>
    </row>
    <row r="324" spans="1:17" x14ac:dyDescent="0.45">
      <c r="A324" s="1">
        <v>45962</v>
      </c>
      <c r="B324">
        <v>2026</v>
      </c>
      <c r="C324">
        <v>2</v>
      </c>
      <c r="D324" t="s">
        <v>18</v>
      </c>
      <c r="E324" s="2">
        <v>4157000</v>
      </c>
      <c r="F324" s="2">
        <v>359481.3</v>
      </c>
      <c r="G324" s="2">
        <v>304478.07</v>
      </c>
      <c r="H324" s="2">
        <v>53149.98</v>
      </c>
      <c r="I324" s="2">
        <v>3143.66</v>
      </c>
      <c r="J324">
        <v>28</v>
      </c>
      <c r="K324">
        <v>0</v>
      </c>
      <c r="L324">
        <v>33</v>
      </c>
      <c r="M324">
        <v>1</v>
      </c>
      <c r="N324">
        <v>7</v>
      </c>
      <c r="O324" s="2">
        <v>10878.81</v>
      </c>
      <c r="P324" s="2">
        <v>122.07</v>
      </c>
      <c r="Q324" s="2">
        <v>119.44</v>
      </c>
    </row>
    <row r="325" spans="1:17" x14ac:dyDescent="0.45">
      <c r="A325" s="1">
        <v>44378</v>
      </c>
      <c r="B325">
        <v>2021</v>
      </c>
      <c r="C325">
        <v>10</v>
      </c>
      <c r="D325" t="s">
        <v>17</v>
      </c>
      <c r="E325" s="2">
        <v>7300000</v>
      </c>
      <c r="F325" s="2">
        <v>597439.18000000005</v>
      </c>
      <c r="G325" s="2">
        <v>322420.87</v>
      </c>
      <c r="H325" s="2">
        <v>249309.44</v>
      </c>
      <c r="I325" s="2">
        <v>24541.759999999998</v>
      </c>
      <c r="J325">
        <v>44</v>
      </c>
      <c r="K325">
        <v>2</v>
      </c>
      <c r="L325">
        <v>88</v>
      </c>
      <c r="M325">
        <v>0</v>
      </c>
      <c r="N325">
        <v>14</v>
      </c>
      <c r="O325" s="2">
        <v>11676.08</v>
      </c>
      <c r="P325" s="2">
        <v>108.22</v>
      </c>
      <c r="Q325" s="2">
        <v>100.97</v>
      </c>
    </row>
    <row r="326" spans="1:17" x14ac:dyDescent="0.45">
      <c r="A326" s="1">
        <v>45292</v>
      </c>
      <c r="B326">
        <v>2024</v>
      </c>
      <c r="C326">
        <v>4</v>
      </c>
      <c r="D326" t="s">
        <v>25</v>
      </c>
      <c r="E326" s="2">
        <v>4657000</v>
      </c>
      <c r="F326" s="2">
        <v>402284.82</v>
      </c>
      <c r="G326" s="2">
        <v>326882.96999999997</v>
      </c>
      <c r="H326" s="2">
        <v>58526.1</v>
      </c>
      <c r="I326" s="2">
        <v>10251.48</v>
      </c>
      <c r="J326">
        <v>33</v>
      </c>
      <c r="K326">
        <v>2</v>
      </c>
      <c r="L326">
        <v>47</v>
      </c>
      <c r="M326">
        <v>1</v>
      </c>
      <c r="N326">
        <v>9</v>
      </c>
      <c r="O326" s="2">
        <v>14423.26</v>
      </c>
      <c r="P326" s="2">
        <v>99.3</v>
      </c>
      <c r="Q326" s="2">
        <v>110.84</v>
      </c>
    </row>
    <row r="327" spans="1:17" x14ac:dyDescent="0.45">
      <c r="A327" s="1">
        <v>44896</v>
      </c>
      <c r="B327">
        <v>2023</v>
      </c>
      <c r="C327">
        <v>3</v>
      </c>
      <c r="D327" t="s">
        <v>17</v>
      </c>
      <c r="E327" s="2">
        <v>7820000</v>
      </c>
      <c r="F327" s="2">
        <v>664299.13</v>
      </c>
      <c r="G327" s="2">
        <v>339851.07</v>
      </c>
      <c r="H327" s="2">
        <v>303739.81</v>
      </c>
      <c r="I327" s="2">
        <v>33400.15</v>
      </c>
      <c r="J327">
        <v>44</v>
      </c>
      <c r="K327">
        <v>1</v>
      </c>
      <c r="L327">
        <v>61</v>
      </c>
      <c r="M327">
        <v>4</v>
      </c>
      <c r="N327">
        <v>18</v>
      </c>
      <c r="O327" s="2">
        <v>72552.73</v>
      </c>
      <c r="P327" s="2">
        <v>110.34</v>
      </c>
      <c r="Q327" s="2">
        <v>106.59</v>
      </c>
    </row>
    <row r="328" spans="1:17" x14ac:dyDescent="0.45">
      <c r="A328" s="1">
        <v>44835</v>
      </c>
      <c r="B328">
        <v>2023</v>
      </c>
      <c r="C328">
        <v>1</v>
      </c>
      <c r="D328" t="s">
        <v>22</v>
      </c>
      <c r="E328" s="2">
        <v>6642000</v>
      </c>
      <c r="F328" s="2">
        <v>574833.76</v>
      </c>
      <c r="G328" s="2">
        <v>272071.32</v>
      </c>
      <c r="H328" s="2">
        <v>248210.2</v>
      </c>
      <c r="I328" s="2">
        <v>40760.68</v>
      </c>
      <c r="J328">
        <v>31</v>
      </c>
      <c r="K328">
        <v>0</v>
      </c>
      <c r="L328">
        <v>27</v>
      </c>
      <c r="M328">
        <v>5</v>
      </c>
      <c r="N328">
        <v>23</v>
      </c>
      <c r="O328" s="2">
        <v>87944.13</v>
      </c>
      <c r="P328" s="2">
        <v>109.79</v>
      </c>
      <c r="Q328" s="2">
        <v>105.85</v>
      </c>
    </row>
    <row r="329" spans="1:17" x14ac:dyDescent="0.45">
      <c r="A329" s="1">
        <v>45717</v>
      </c>
      <c r="B329">
        <v>2025</v>
      </c>
      <c r="C329">
        <v>6</v>
      </c>
      <c r="D329" t="s">
        <v>18</v>
      </c>
      <c r="E329" s="2">
        <v>4016000</v>
      </c>
      <c r="F329" s="2">
        <v>359136.3</v>
      </c>
      <c r="G329" s="2">
        <v>308018.93</v>
      </c>
      <c r="H329" s="2">
        <v>43857.72</v>
      </c>
      <c r="I329" s="2">
        <v>3146.05</v>
      </c>
      <c r="J329">
        <v>28</v>
      </c>
      <c r="K329">
        <v>2</v>
      </c>
      <c r="L329">
        <v>41</v>
      </c>
      <c r="M329">
        <v>0</v>
      </c>
      <c r="N329">
        <v>9</v>
      </c>
      <c r="O329" s="2">
        <v>6420.1</v>
      </c>
      <c r="P329" s="2">
        <v>114.58</v>
      </c>
      <c r="Q329" s="2">
        <v>116.48</v>
      </c>
    </row>
    <row r="330" spans="1:17" x14ac:dyDescent="0.45">
      <c r="A330" s="1">
        <v>45901</v>
      </c>
      <c r="B330">
        <v>2025</v>
      </c>
      <c r="C330">
        <v>12</v>
      </c>
      <c r="D330" t="s">
        <v>19</v>
      </c>
      <c r="E330" s="2">
        <v>5508000</v>
      </c>
      <c r="F330" s="2">
        <v>477981.56</v>
      </c>
      <c r="G330" s="2">
        <v>393461.71</v>
      </c>
      <c r="H330" s="2">
        <v>77558.05</v>
      </c>
      <c r="I330" s="2">
        <v>8293.5</v>
      </c>
      <c r="J330">
        <v>38</v>
      </c>
      <c r="K330">
        <v>5</v>
      </c>
      <c r="L330">
        <v>0</v>
      </c>
      <c r="M330">
        <v>0</v>
      </c>
      <c r="N330">
        <v>10</v>
      </c>
      <c r="O330" s="2">
        <v>8425.2199999999993</v>
      </c>
      <c r="P330" s="2">
        <v>119.85</v>
      </c>
      <c r="Q330" s="2">
        <v>117.61</v>
      </c>
    </row>
    <row r="331" spans="1:17" x14ac:dyDescent="0.45">
      <c r="A331" s="1">
        <v>45200</v>
      </c>
      <c r="B331">
        <v>2024</v>
      </c>
      <c r="C331">
        <v>1</v>
      </c>
      <c r="D331" t="s">
        <v>22</v>
      </c>
      <c r="E331" s="2">
        <v>6874000</v>
      </c>
      <c r="F331" s="2">
        <v>583273.85</v>
      </c>
      <c r="G331" s="2">
        <v>294078.84000000003</v>
      </c>
      <c r="H331" s="2">
        <v>251067.24</v>
      </c>
      <c r="I331" s="2">
        <v>33038.35</v>
      </c>
      <c r="J331">
        <v>30</v>
      </c>
      <c r="K331">
        <v>6</v>
      </c>
      <c r="L331">
        <v>64</v>
      </c>
      <c r="M331">
        <v>4</v>
      </c>
      <c r="N331">
        <v>21</v>
      </c>
      <c r="O331" s="2">
        <v>70037.94</v>
      </c>
      <c r="P331" s="2">
        <v>102.91</v>
      </c>
      <c r="Q331" s="2">
        <v>111.52</v>
      </c>
    </row>
    <row r="332" spans="1:17" x14ac:dyDescent="0.45">
      <c r="A332" s="1">
        <v>45444</v>
      </c>
      <c r="B332">
        <v>2024</v>
      </c>
      <c r="C332">
        <v>9</v>
      </c>
      <c r="D332" t="s">
        <v>28</v>
      </c>
      <c r="E332" s="2">
        <v>24392000</v>
      </c>
      <c r="F332" s="2">
        <v>2124620.89</v>
      </c>
      <c r="G332" s="2">
        <v>1608740.4</v>
      </c>
      <c r="H332" s="2">
        <v>465116.69</v>
      </c>
      <c r="I332" s="2">
        <v>59509.440000000002</v>
      </c>
      <c r="J332">
        <v>187</v>
      </c>
      <c r="K332">
        <v>11</v>
      </c>
      <c r="L332">
        <v>651</v>
      </c>
      <c r="M332">
        <v>8</v>
      </c>
      <c r="N332">
        <v>33</v>
      </c>
      <c r="O332" s="2">
        <v>419559.21</v>
      </c>
      <c r="P332" s="2">
        <v>102.17</v>
      </c>
      <c r="Q332" s="2">
        <v>112.9</v>
      </c>
    </row>
    <row r="333" spans="1:17" x14ac:dyDescent="0.45">
      <c r="A333" s="1">
        <v>45292</v>
      </c>
      <c r="B333">
        <v>2024</v>
      </c>
      <c r="C333">
        <v>4</v>
      </c>
      <c r="D333" t="s">
        <v>17</v>
      </c>
      <c r="E333" s="2">
        <v>8094000</v>
      </c>
      <c r="F333" s="2">
        <v>616172.23</v>
      </c>
      <c r="G333" s="2">
        <v>348951.85</v>
      </c>
      <c r="H333" s="2">
        <v>260910.94</v>
      </c>
      <c r="I333" s="2">
        <v>21216.46</v>
      </c>
      <c r="J333">
        <v>44</v>
      </c>
      <c r="K333">
        <v>3</v>
      </c>
      <c r="L333">
        <v>97</v>
      </c>
      <c r="M333">
        <v>2</v>
      </c>
      <c r="N333">
        <v>21</v>
      </c>
      <c r="O333" s="2">
        <v>65120.43</v>
      </c>
      <c r="P333" s="2">
        <v>103.07</v>
      </c>
      <c r="Q333" s="2">
        <v>110.82</v>
      </c>
    </row>
    <row r="334" spans="1:17" x14ac:dyDescent="0.45">
      <c r="A334" s="1">
        <v>44228</v>
      </c>
      <c r="B334">
        <v>2021</v>
      </c>
      <c r="C334">
        <v>5</v>
      </c>
      <c r="D334" t="s">
        <v>21</v>
      </c>
      <c r="E334" s="2">
        <v>8000000</v>
      </c>
      <c r="F334" s="2">
        <v>632612.5</v>
      </c>
      <c r="G334" s="2">
        <v>431098.38</v>
      </c>
      <c r="H334" s="2">
        <v>196828.67</v>
      </c>
      <c r="I334" s="2">
        <v>19324.240000000002</v>
      </c>
      <c r="J334">
        <v>65</v>
      </c>
      <c r="K334">
        <v>6</v>
      </c>
      <c r="L334">
        <v>124</v>
      </c>
      <c r="M334">
        <v>2</v>
      </c>
      <c r="N334">
        <v>12</v>
      </c>
      <c r="O334" s="2"/>
      <c r="P334" s="2">
        <v>104.26</v>
      </c>
      <c r="Q334" s="2">
        <v>99.81</v>
      </c>
    </row>
    <row r="335" spans="1:17" x14ac:dyDescent="0.45">
      <c r="A335" s="1">
        <v>44317</v>
      </c>
      <c r="B335">
        <v>2021</v>
      </c>
      <c r="C335">
        <v>8</v>
      </c>
      <c r="D335" t="s">
        <v>25</v>
      </c>
      <c r="E335" s="2">
        <v>4200000</v>
      </c>
      <c r="F335" s="2">
        <v>329261.17</v>
      </c>
      <c r="G335" s="2">
        <v>265778.88</v>
      </c>
      <c r="H335" s="2">
        <v>63560.57</v>
      </c>
      <c r="I335" s="2">
        <v>6574.13</v>
      </c>
      <c r="J335">
        <v>31</v>
      </c>
      <c r="K335">
        <v>2</v>
      </c>
      <c r="L335">
        <v>0</v>
      </c>
      <c r="M335">
        <v>2</v>
      </c>
      <c r="N335">
        <v>12</v>
      </c>
      <c r="O335" s="2">
        <v>19562.75</v>
      </c>
      <c r="P335" s="2">
        <v>106.45</v>
      </c>
      <c r="Q335" s="2">
        <v>102.13</v>
      </c>
    </row>
    <row r="336" spans="1:17" x14ac:dyDescent="0.45">
      <c r="A336" s="1">
        <v>44348</v>
      </c>
      <c r="B336">
        <v>2021</v>
      </c>
      <c r="C336">
        <v>9</v>
      </c>
      <c r="D336" t="s">
        <v>25</v>
      </c>
      <c r="E336" s="2">
        <v>4200000</v>
      </c>
      <c r="F336" s="2">
        <v>357215.38</v>
      </c>
      <c r="G336" s="2">
        <v>291120.63</v>
      </c>
      <c r="H336" s="2">
        <v>61980.03</v>
      </c>
      <c r="I336" s="2">
        <v>9812.44</v>
      </c>
      <c r="J336">
        <v>32</v>
      </c>
      <c r="K336">
        <v>3</v>
      </c>
      <c r="L336">
        <v>50</v>
      </c>
      <c r="M336">
        <v>4</v>
      </c>
      <c r="N336">
        <v>16</v>
      </c>
      <c r="O336" s="2">
        <v>40367.39</v>
      </c>
      <c r="P336" s="2">
        <v>105.64</v>
      </c>
      <c r="Q336" s="2">
        <v>102.94</v>
      </c>
    </row>
    <row r="337" spans="1:17" x14ac:dyDescent="0.45">
      <c r="A337" s="1">
        <v>45597</v>
      </c>
      <c r="B337">
        <v>2025</v>
      </c>
      <c r="C337">
        <v>2</v>
      </c>
      <c r="D337" t="s">
        <v>27</v>
      </c>
      <c r="E337" s="2">
        <v>28688000</v>
      </c>
      <c r="F337" s="2">
        <v>2783364.29</v>
      </c>
      <c r="G337" s="2">
        <v>2056402.22</v>
      </c>
      <c r="H337" s="2">
        <v>688096.28</v>
      </c>
      <c r="I337" s="2">
        <v>56086.080000000002</v>
      </c>
      <c r="J337">
        <v>217</v>
      </c>
      <c r="K337">
        <v>15</v>
      </c>
      <c r="L337">
        <v>1095</v>
      </c>
      <c r="M337">
        <v>10</v>
      </c>
      <c r="N337">
        <v>40</v>
      </c>
      <c r="O337" s="2">
        <v>529874.31000000006</v>
      </c>
      <c r="P337" s="2">
        <v>106.79</v>
      </c>
      <c r="Q337" s="2">
        <v>114.86</v>
      </c>
    </row>
    <row r="338" spans="1:17" x14ac:dyDescent="0.45">
      <c r="A338" s="1">
        <v>44197</v>
      </c>
      <c r="B338">
        <v>2021</v>
      </c>
      <c r="C338">
        <v>4</v>
      </c>
      <c r="D338" t="s">
        <v>24</v>
      </c>
      <c r="E338" s="2">
        <v>13500000</v>
      </c>
      <c r="F338" s="2">
        <v>1070061.03</v>
      </c>
      <c r="G338" s="2">
        <v>568983.32999999996</v>
      </c>
      <c r="H338" s="2">
        <v>423741.14</v>
      </c>
      <c r="I338" s="2">
        <v>46229.56</v>
      </c>
      <c r="J338">
        <v>80</v>
      </c>
      <c r="K338">
        <v>5</v>
      </c>
      <c r="L338">
        <v>137</v>
      </c>
      <c r="M338">
        <v>1</v>
      </c>
      <c r="N338">
        <v>21</v>
      </c>
      <c r="O338" s="2">
        <v>83532.81</v>
      </c>
      <c r="P338" s="2">
        <v>99.81</v>
      </c>
      <c r="Q338" s="2">
        <v>99.89</v>
      </c>
    </row>
    <row r="339" spans="1:17" x14ac:dyDescent="0.45">
      <c r="A339" s="1">
        <v>45474</v>
      </c>
      <c r="B339">
        <v>2024</v>
      </c>
      <c r="C339">
        <v>10</v>
      </c>
      <c r="D339" t="s">
        <v>21</v>
      </c>
      <c r="E339" s="2">
        <v>8870000</v>
      </c>
      <c r="F339" s="2">
        <v>775852.97</v>
      </c>
      <c r="G339" s="2">
        <v>496406.54</v>
      </c>
      <c r="H339" s="2">
        <v>236081.13</v>
      </c>
      <c r="I339" s="2">
        <v>34869.93</v>
      </c>
      <c r="J339">
        <v>69</v>
      </c>
      <c r="K339">
        <v>6</v>
      </c>
      <c r="L339">
        <v>71</v>
      </c>
      <c r="M339">
        <v>0</v>
      </c>
      <c r="N339">
        <v>13</v>
      </c>
      <c r="O339" s="2">
        <v>19265.95</v>
      </c>
      <c r="P339" s="2">
        <v>107.67</v>
      </c>
      <c r="Q339" s="2">
        <v>113.65</v>
      </c>
    </row>
    <row r="340" spans="1:17" x14ac:dyDescent="0.45">
      <c r="A340" s="1">
        <v>44470</v>
      </c>
      <c r="B340">
        <v>2022</v>
      </c>
      <c r="C340">
        <v>1</v>
      </c>
      <c r="D340" t="s">
        <v>23</v>
      </c>
      <c r="E340" s="2">
        <v>19665000</v>
      </c>
      <c r="F340" s="2">
        <v>1549506.84</v>
      </c>
      <c r="G340" s="2">
        <v>714739.16</v>
      </c>
      <c r="H340" s="2">
        <v>708775.1</v>
      </c>
      <c r="I340" s="2">
        <v>74687.759999999995</v>
      </c>
      <c r="J340">
        <v>92</v>
      </c>
      <c r="K340">
        <v>6</v>
      </c>
      <c r="L340">
        <v>396</v>
      </c>
      <c r="M340">
        <v>5</v>
      </c>
      <c r="N340">
        <v>25</v>
      </c>
      <c r="O340" s="2">
        <v>203388.07</v>
      </c>
      <c r="P340" s="2">
        <v>109.46</v>
      </c>
      <c r="Q340" s="2">
        <v>103.03</v>
      </c>
    </row>
    <row r="341" spans="1:17" x14ac:dyDescent="0.45">
      <c r="A341" s="1">
        <v>45505</v>
      </c>
      <c r="B341">
        <v>2024</v>
      </c>
      <c r="C341">
        <v>11</v>
      </c>
      <c r="D341" t="s">
        <v>25</v>
      </c>
      <c r="E341" s="2">
        <v>4657000</v>
      </c>
      <c r="F341" s="2">
        <v>394536.19</v>
      </c>
      <c r="G341" s="2">
        <v>310865.06</v>
      </c>
      <c r="H341" s="2">
        <v>66924.429999999993</v>
      </c>
      <c r="I341" s="2">
        <v>11569.29</v>
      </c>
      <c r="J341">
        <v>33</v>
      </c>
      <c r="L341">
        <v>55</v>
      </c>
      <c r="M341">
        <v>3</v>
      </c>
      <c r="N341">
        <v>15</v>
      </c>
      <c r="O341" s="2">
        <v>34312.68</v>
      </c>
      <c r="P341" s="2">
        <v>103.98</v>
      </c>
      <c r="Q341" s="2">
        <v>113.1</v>
      </c>
    </row>
    <row r="342" spans="1:17" x14ac:dyDescent="0.45">
      <c r="A342" s="1">
        <v>44958</v>
      </c>
      <c r="B342">
        <v>2023</v>
      </c>
      <c r="C342">
        <v>5</v>
      </c>
      <c r="D342" t="s">
        <v>21</v>
      </c>
      <c r="E342" s="2">
        <v>8570000</v>
      </c>
      <c r="F342" s="2">
        <v>684602.44</v>
      </c>
      <c r="G342" s="2">
        <v>479089.61</v>
      </c>
      <c r="H342" s="2">
        <v>197366.31</v>
      </c>
      <c r="I342" s="2">
        <v>11782.6</v>
      </c>
      <c r="J342">
        <v>66</v>
      </c>
      <c r="K342">
        <v>7</v>
      </c>
      <c r="L342">
        <v>57</v>
      </c>
      <c r="M342">
        <v>4</v>
      </c>
      <c r="N342">
        <v>19</v>
      </c>
      <c r="O342" s="2">
        <v>89118.77</v>
      </c>
      <c r="P342" s="2">
        <v>103.82</v>
      </c>
      <c r="Q342" s="2">
        <v>107.25</v>
      </c>
    </row>
    <row r="343" spans="1:17" x14ac:dyDescent="0.45">
      <c r="A343" s="1">
        <v>45292</v>
      </c>
      <c r="B343">
        <v>2024</v>
      </c>
      <c r="C343">
        <v>4</v>
      </c>
      <c r="D343" t="s">
        <v>25</v>
      </c>
      <c r="E343" s="2">
        <v>4657000</v>
      </c>
      <c r="F343" s="2">
        <v>402284.82</v>
      </c>
      <c r="G343" s="2">
        <v>326882.96999999997</v>
      </c>
      <c r="H343" s="2">
        <v>58526.1</v>
      </c>
      <c r="I343" s="2">
        <v>10251.48</v>
      </c>
      <c r="J343">
        <v>33</v>
      </c>
      <c r="K343">
        <v>2</v>
      </c>
      <c r="L343">
        <v>47</v>
      </c>
      <c r="M343">
        <v>1</v>
      </c>
      <c r="N343">
        <v>9</v>
      </c>
      <c r="O343" s="2">
        <v>14423.26</v>
      </c>
      <c r="P343" s="2">
        <v>99.3</v>
      </c>
      <c r="Q343" s="2">
        <v>110.84</v>
      </c>
    </row>
    <row r="344" spans="1:17" x14ac:dyDescent="0.45">
      <c r="A344" s="1">
        <v>44896</v>
      </c>
      <c r="B344">
        <v>2023</v>
      </c>
      <c r="C344">
        <v>3</v>
      </c>
      <c r="D344" t="s">
        <v>23</v>
      </c>
      <c r="E344" s="2">
        <v>20353000</v>
      </c>
      <c r="F344" s="2">
        <v>2192756.67</v>
      </c>
      <c r="G344" s="2">
        <v>778230.06</v>
      </c>
      <c r="H344" s="2">
        <v>1190954.3899999999</v>
      </c>
      <c r="I344" s="2">
        <v>104840.5</v>
      </c>
      <c r="J344">
        <v>94</v>
      </c>
      <c r="K344">
        <v>4</v>
      </c>
      <c r="L344">
        <v>462</v>
      </c>
      <c r="M344">
        <v>9</v>
      </c>
      <c r="N344">
        <v>29</v>
      </c>
      <c r="O344" s="2">
        <v>459146.64</v>
      </c>
      <c r="P344" s="2">
        <v>108.38</v>
      </c>
      <c r="Q344" s="2">
        <v>107.01</v>
      </c>
    </row>
    <row r="345" spans="1:17" x14ac:dyDescent="0.45">
      <c r="A345" s="1">
        <v>45292</v>
      </c>
      <c r="B345">
        <v>2024</v>
      </c>
      <c r="C345">
        <v>4</v>
      </c>
      <c r="D345" t="s">
        <v>24</v>
      </c>
      <c r="E345" s="2">
        <v>14968000</v>
      </c>
      <c r="F345" s="2">
        <v>1260070.07</v>
      </c>
      <c r="G345" s="2">
        <v>636271.42000000004</v>
      </c>
      <c r="H345" s="2">
        <v>560450.07999999996</v>
      </c>
      <c r="I345" s="2">
        <v>32163.52</v>
      </c>
      <c r="J345">
        <v>80</v>
      </c>
      <c r="K345">
        <v>6</v>
      </c>
      <c r="L345">
        <v>94</v>
      </c>
      <c r="M345">
        <v>4</v>
      </c>
      <c r="N345">
        <v>27</v>
      </c>
      <c r="O345" s="2">
        <v>202937.53</v>
      </c>
      <c r="P345" s="2">
        <v>99.85</v>
      </c>
      <c r="Q345" s="2">
        <v>111.68</v>
      </c>
    </row>
    <row r="346" spans="1:17" x14ac:dyDescent="0.45">
      <c r="A346" s="1">
        <v>45566</v>
      </c>
      <c r="B346">
        <v>2025</v>
      </c>
      <c r="C346">
        <v>1</v>
      </c>
      <c r="D346" t="s">
        <v>19</v>
      </c>
      <c r="E346" s="2">
        <v>5508000</v>
      </c>
      <c r="F346" s="2">
        <v>467908.47</v>
      </c>
      <c r="G346" s="2">
        <v>395574.79</v>
      </c>
      <c r="H346" s="2">
        <v>73373.679999999993</v>
      </c>
      <c r="I346" s="2">
        <v>4312.8900000000003</v>
      </c>
      <c r="J346">
        <v>38</v>
      </c>
      <c r="K346">
        <v>1</v>
      </c>
      <c r="L346">
        <v>73</v>
      </c>
      <c r="M346">
        <v>1</v>
      </c>
      <c r="N346">
        <v>9</v>
      </c>
      <c r="O346" s="2">
        <v>17337.11</v>
      </c>
      <c r="P346" s="2">
        <v>101.36</v>
      </c>
      <c r="Q346" s="2">
        <v>113.84</v>
      </c>
    </row>
    <row r="347" spans="1:17" x14ac:dyDescent="0.45">
      <c r="A347" s="1">
        <v>45962</v>
      </c>
      <c r="B347">
        <v>2026</v>
      </c>
      <c r="C347">
        <v>2</v>
      </c>
      <c r="D347" t="s">
        <v>22</v>
      </c>
      <c r="E347" s="2">
        <v>7364000</v>
      </c>
      <c r="F347" s="2">
        <v>690881.97</v>
      </c>
      <c r="G347" s="2">
        <v>337988.02</v>
      </c>
      <c r="H347" s="2">
        <v>312410.90999999997</v>
      </c>
      <c r="I347" s="2">
        <v>44512.86</v>
      </c>
      <c r="J347">
        <v>33</v>
      </c>
      <c r="K347">
        <v>1</v>
      </c>
      <c r="L347">
        <v>8</v>
      </c>
      <c r="M347">
        <v>4</v>
      </c>
      <c r="N347">
        <v>15</v>
      </c>
      <c r="O347" s="2">
        <v>66520.47</v>
      </c>
      <c r="P347" s="2">
        <v>118.71</v>
      </c>
      <c r="Q347" s="2">
        <v>119.03</v>
      </c>
    </row>
    <row r="348" spans="1:17" x14ac:dyDescent="0.45">
      <c r="A348" s="1">
        <v>45261</v>
      </c>
      <c r="B348">
        <v>2024</v>
      </c>
      <c r="C348">
        <v>3</v>
      </c>
      <c r="D348" t="s">
        <v>17</v>
      </c>
      <c r="E348" s="2">
        <v>8094000</v>
      </c>
      <c r="F348" s="2">
        <v>643988.80000000005</v>
      </c>
      <c r="G348" s="2">
        <v>335711.5</v>
      </c>
      <c r="H348" s="2">
        <v>318388.94</v>
      </c>
      <c r="I348" s="2">
        <v>16976.68</v>
      </c>
      <c r="J348">
        <v>43</v>
      </c>
      <c r="K348">
        <v>3</v>
      </c>
      <c r="L348">
        <v>55</v>
      </c>
      <c r="M348">
        <v>3</v>
      </c>
      <c r="N348">
        <v>13</v>
      </c>
      <c r="O348" s="2">
        <v>77025.48</v>
      </c>
      <c r="P348" s="2">
        <v>99.53</v>
      </c>
      <c r="Q348" s="2">
        <v>110.67</v>
      </c>
    </row>
    <row r="349" spans="1:17" x14ac:dyDescent="0.45">
      <c r="A349" s="1">
        <v>45748</v>
      </c>
      <c r="B349">
        <v>2025</v>
      </c>
      <c r="C349">
        <v>7</v>
      </c>
      <c r="D349" t="s">
        <v>23</v>
      </c>
      <c r="E349" s="2">
        <v>21803000</v>
      </c>
      <c r="F349" s="2">
        <v>1910157</v>
      </c>
      <c r="G349" s="2">
        <v>841245.99</v>
      </c>
      <c r="H349" s="2">
        <v>876555.46</v>
      </c>
      <c r="I349" s="2">
        <v>143156.45000000001</v>
      </c>
      <c r="J349">
        <v>97</v>
      </c>
      <c r="K349">
        <v>10</v>
      </c>
      <c r="L349">
        <v>375</v>
      </c>
      <c r="M349">
        <v>6</v>
      </c>
      <c r="N349">
        <v>26</v>
      </c>
      <c r="O349" s="2">
        <v>373982.4</v>
      </c>
      <c r="P349" s="2">
        <v>111.99</v>
      </c>
      <c r="Q349" s="2">
        <v>116.61</v>
      </c>
    </row>
    <row r="350" spans="1:17" x14ac:dyDescent="0.45">
      <c r="A350" s="1">
        <v>45383</v>
      </c>
      <c r="B350">
        <v>2024</v>
      </c>
      <c r="C350">
        <v>7</v>
      </c>
      <c r="D350" t="s">
        <v>27</v>
      </c>
      <c r="E350" s="2">
        <v>27718000</v>
      </c>
      <c r="F350" s="2">
        <v>2449997.7599999998</v>
      </c>
      <c r="G350" s="2">
        <v>1773585.9</v>
      </c>
      <c r="H350" s="2">
        <v>596899.49</v>
      </c>
      <c r="I350" s="2">
        <v>68874.78</v>
      </c>
      <c r="J350">
        <v>211</v>
      </c>
      <c r="K350">
        <v>12</v>
      </c>
      <c r="L350">
        <v>931</v>
      </c>
      <c r="M350">
        <v>7</v>
      </c>
      <c r="N350">
        <v>31</v>
      </c>
      <c r="O350" s="2">
        <v>555240.72</v>
      </c>
      <c r="P350" s="2">
        <v>97.57</v>
      </c>
      <c r="Q350" s="2">
        <v>112.75</v>
      </c>
    </row>
    <row r="351" spans="1:17" x14ac:dyDescent="0.45">
      <c r="A351" s="1">
        <v>44986</v>
      </c>
      <c r="B351">
        <v>2023</v>
      </c>
      <c r="C351">
        <v>6</v>
      </c>
      <c r="D351" t="s">
        <v>22</v>
      </c>
      <c r="E351" s="2">
        <v>6642000</v>
      </c>
      <c r="F351" s="2">
        <v>531809.6</v>
      </c>
      <c r="G351" s="2">
        <v>269831.78999999998</v>
      </c>
      <c r="H351" s="2">
        <v>255366.98</v>
      </c>
      <c r="I351" s="2">
        <v>10889.13</v>
      </c>
      <c r="J351">
        <v>30</v>
      </c>
      <c r="K351">
        <v>4</v>
      </c>
      <c r="L351">
        <v>27</v>
      </c>
      <c r="M351">
        <v>0</v>
      </c>
      <c r="N351">
        <v>12</v>
      </c>
      <c r="O351" s="2">
        <v>13086.43</v>
      </c>
      <c r="P351" s="2">
        <v>103.44</v>
      </c>
      <c r="Q351" s="2">
        <v>109.12</v>
      </c>
    </row>
    <row r="352" spans="1:17" x14ac:dyDescent="0.45">
      <c r="A352" s="1">
        <v>44470</v>
      </c>
      <c r="B352">
        <v>2022</v>
      </c>
      <c r="C352">
        <v>1</v>
      </c>
      <c r="D352" t="s">
        <v>16</v>
      </c>
      <c r="E352" s="2">
        <v>6417000</v>
      </c>
      <c r="F352" s="2">
        <v>514327.9</v>
      </c>
      <c r="G352" s="2">
        <v>253893.7</v>
      </c>
      <c r="H352" s="2">
        <v>240833.45</v>
      </c>
      <c r="I352" s="2">
        <v>19405.38</v>
      </c>
      <c r="J352">
        <v>30</v>
      </c>
      <c r="K352">
        <v>1</v>
      </c>
      <c r="L352">
        <v>13</v>
      </c>
      <c r="M352">
        <v>0</v>
      </c>
      <c r="N352">
        <v>16</v>
      </c>
      <c r="O352" s="2">
        <v>17343.169999999998</v>
      </c>
      <c r="P352" s="2">
        <v>108.3</v>
      </c>
      <c r="Q352" s="2">
        <v>102.66</v>
      </c>
    </row>
    <row r="353" spans="1:17" x14ac:dyDescent="0.45">
      <c r="A353" s="1">
        <v>45658</v>
      </c>
      <c r="B353">
        <v>2025</v>
      </c>
      <c r="C353">
        <v>4</v>
      </c>
      <c r="D353" t="s">
        <v>23</v>
      </c>
      <c r="E353" s="2">
        <v>21803000</v>
      </c>
      <c r="F353" s="2">
        <v>1867386.89</v>
      </c>
      <c r="G353" s="2">
        <v>879526.82</v>
      </c>
      <c r="H353" s="2">
        <v>854994.8</v>
      </c>
      <c r="I353" s="2">
        <v>105225.21</v>
      </c>
      <c r="J353">
        <v>101</v>
      </c>
      <c r="K353">
        <v>7</v>
      </c>
      <c r="L353">
        <v>428</v>
      </c>
      <c r="M353">
        <v>3</v>
      </c>
      <c r="N353">
        <v>24</v>
      </c>
      <c r="O353" s="2">
        <v>228930.03</v>
      </c>
      <c r="P353" s="2">
        <v>112.26</v>
      </c>
      <c r="Q353" s="2">
        <v>116.38</v>
      </c>
    </row>
    <row r="354" spans="1:17" x14ac:dyDescent="0.45">
      <c r="A354" s="1">
        <v>44287</v>
      </c>
      <c r="B354">
        <v>2021</v>
      </c>
      <c r="C354">
        <v>7</v>
      </c>
      <c r="D354" t="s">
        <v>24</v>
      </c>
      <c r="E354" s="2">
        <v>13500000</v>
      </c>
      <c r="F354" s="2">
        <v>1154673.8400000001</v>
      </c>
      <c r="G354" s="2">
        <v>551328.56999999995</v>
      </c>
      <c r="H354" s="2">
        <v>576452.03</v>
      </c>
      <c r="I354" s="2">
        <v>43487.42</v>
      </c>
      <c r="J354">
        <v>78</v>
      </c>
      <c r="K354">
        <v>4</v>
      </c>
      <c r="L354">
        <v>66</v>
      </c>
      <c r="M354">
        <v>4</v>
      </c>
      <c r="N354">
        <v>25</v>
      </c>
      <c r="O354" s="2">
        <v>125614.26</v>
      </c>
      <c r="P354" s="2">
        <v>103.76</v>
      </c>
      <c r="Q354" s="2">
        <v>100.52</v>
      </c>
    </row>
    <row r="355" spans="1:17" x14ac:dyDescent="0.45">
      <c r="A355" s="1">
        <v>44866</v>
      </c>
      <c r="B355">
        <v>2023</v>
      </c>
      <c r="C355">
        <v>2</v>
      </c>
      <c r="D355" t="s">
        <v>19</v>
      </c>
      <c r="E355" s="2">
        <v>5142000</v>
      </c>
      <c r="F355" s="2">
        <v>420512.82</v>
      </c>
      <c r="G355" s="2">
        <v>356527.42</v>
      </c>
      <c r="H355" s="2">
        <v>70408.789999999994</v>
      </c>
      <c r="I355" s="2">
        <v>6281.82</v>
      </c>
      <c r="J355">
        <v>36</v>
      </c>
      <c r="K355">
        <v>4</v>
      </c>
      <c r="L355">
        <v>41</v>
      </c>
      <c r="M355">
        <v>0</v>
      </c>
      <c r="N355">
        <v>13</v>
      </c>
      <c r="O355" s="2">
        <v>12202.96</v>
      </c>
      <c r="P355" s="2">
        <v>104.87</v>
      </c>
      <c r="Q355" s="2">
        <v>107.42</v>
      </c>
    </row>
    <row r="356" spans="1:17" x14ac:dyDescent="0.45">
      <c r="A356" s="1">
        <v>45689</v>
      </c>
      <c r="B356">
        <v>2025</v>
      </c>
      <c r="C356">
        <v>5</v>
      </c>
      <c r="D356" t="s">
        <v>19</v>
      </c>
      <c r="E356" s="2">
        <v>5508000</v>
      </c>
      <c r="F356" s="2">
        <v>508595.98</v>
      </c>
      <c r="G356" s="2">
        <v>386922.68</v>
      </c>
      <c r="H356" s="2">
        <v>65235.81</v>
      </c>
      <c r="I356" s="2">
        <v>51217.2</v>
      </c>
      <c r="J356">
        <v>38</v>
      </c>
      <c r="K356">
        <v>4</v>
      </c>
      <c r="L356">
        <v>55</v>
      </c>
      <c r="M356">
        <v>1</v>
      </c>
      <c r="N356">
        <v>13</v>
      </c>
      <c r="O356" s="2">
        <v>20856.04</v>
      </c>
      <c r="P356" s="2">
        <v>109.7</v>
      </c>
      <c r="Q356" s="2">
        <v>114.96</v>
      </c>
    </row>
    <row r="357" spans="1:17" x14ac:dyDescent="0.45">
      <c r="A357" s="1">
        <v>44713</v>
      </c>
      <c r="B357">
        <v>2022</v>
      </c>
      <c r="C357">
        <v>9</v>
      </c>
      <c r="D357" t="s">
        <v>24</v>
      </c>
      <c r="E357" s="2">
        <v>13972000</v>
      </c>
      <c r="F357" s="2">
        <v>1302099.3799999999</v>
      </c>
      <c r="G357" s="2">
        <v>583708.25</v>
      </c>
      <c r="H357" s="2">
        <v>543150.39</v>
      </c>
      <c r="I357" s="2">
        <v>177202.01</v>
      </c>
      <c r="J357">
        <v>83</v>
      </c>
      <c r="K357">
        <v>5</v>
      </c>
      <c r="L357">
        <v>229</v>
      </c>
      <c r="M357">
        <v>5</v>
      </c>
      <c r="N357">
        <v>26</v>
      </c>
      <c r="O357" s="2">
        <v>178861.15</v>
      </c>
      <c r="P357" s="2">
        <v>110.89</v>
      </c>
      <c r="Q357" s="2">
        <v>104.66</v>
      </c>
    </row>
    <row r="358" spans="1:17" x14ac:dyDescent="0.45">
      <c r="A358" s="1">
        <v>45566</v>
      </c>
      <c r="B358">
        <v>2025</v>
      </c>
      <c r="C358">
        <v>1</v>
      </c>
      <c r="D358" t="s">
        <v>23</v>
      </c>
      <c r="E358" s="2">
        <v>21803000</v>
      </c>
      <c r="F358" s="2">
        <v>1746071.33</v>
      </c>
      <c r="G358" s="2">
        <v>843609</v>
      </c>
      <c r="H358" s="2">
        <v>862396.52</v>
      </c>
      <c r="I358" s="2">
        <v>79289.19</v>
      </c>
      <c r="J358">
        <v>99</v>
      </c>
      <c r="K358">
        <v>7</v>
      </c>
      <c r="L358">
        <v>445</v>
      </c>
      <c r="M358">
        <v>6</v>
      </c>
      <c r="N358">
        <v>25</v>
      </c>
      <c r="O358" s="2">
        <v>314585.57</v>
      </c>
      <c r="P358" s="2">
        <v>105.04</v>
      </c>
      <c r="Q358" s="2">
        <v>114.51</v>
      </c>
    </row>
    <row r="359" spans="1:17" x14ac:dyDescent="0.45">
      <c r="A359" s="1">
        <v>44256</v>
      </c>
      <c r="B359">
        <v>2021</v>
      </c>
      <c r="C359">
        <v>6</v>
      </c>
      <c r="D359" t="s">
        <v>25</v>
      </c>
      <c r="E359" s="2">
        <v>4200000</v>
      </c>
      <c r="F359" s="2">
        <v>369036.09</v>
      </c>
      <c r="G359" s="2">
        <v>282397.15000000002</v>
      </c>
      <c r="H359" s="2">
        <v>58681.02</v>
      </c>
      <c r="I359" s="2">
        <v>34505.51</v>
      </c>
      <c r="J359">
        <v>32</v>
      </c>
      <c r="K359">
        <v>0</v>
      </c>
      <c r="L359">
        <v>15</v>
      </c>
      <c r="M359">
        <v>0</v>
      </c>
      <c r="N359">
        <v>12</v>
      </c>
      <c r="O359" s="2">
        <v>8605.5400000000009</v>
      </c>
      <c r="P359" s="2">
        <v>99.97</v>
      </c>
      <c r="Q359" s="2">
        <v>100</v>
      </c>
    </row>
    <row r="360" spans="1:17" x14ac:dyDescent="0.45">
      <c r="A360" s="1">
        <v>45352</v>
      </c>
      <c r="B360">
        <v>2024</v>
      </c>
      <c r="C360">
        <v>6</v>
      </c>
      <c r="D360" t="s">
        <v>28</v>
      </c>
      <c r="E360" s="2">
        <v>24392000</v>
      </c>
      <c r="F360" s="2">
        <v>2108862.7400000002</v>
      </c>
      <c r="G360" s="2">
        <v>1691964.66</v>
      </c>
      <c r="H360" s="2">
        <v>395155.79</v>
      </c>
      <c r="I360" s="2">
        <v>30116.639999999999</v>
      </c>
      <c r="J360">
        <v>184</v>
      </c>
      <c r="K360">
        <v>10</v>
      </c>
      <c r="L360">
        <v>782</v>
      </c>
      <c r="M360">
        <v>9</v>
      </c>
      <c r="N360">
        <v>33</v>
      </c>
      <c r="O360" s="2">
        <v>518164.96</v>
      </c>
      <c r="P360" s="2">
        <v>94.55</v>
      </c>
      <c r="Q360" s="2">
        <v>111.51</v>
      </c>
    </row>
    <row r="361" spans="1:17" x14ac:dyDescent="0.45">
      <c r="A361" s="1">
        <v>44317</v>
      </c>
      <c r="B361">
        <v>2021</v>
      </c>
      <c r="C361">
        <v>8</v>
      </c>
      <c r="D361" t="s">
        <v>23</v>
      </c>
      <c r="E361" s="2">
        <v>19000000</v>
      </c>
      <c r="F361" s="2">
        <v>1611850.69</v>
      </c>
      <c r="G361" s="2">
        <v>756643.3</v>
      </c>
      <c r="H361" s="2">
        <v>753715.96</v>
      </c>
      <c r="I361" s="2">
        <v>63941.56</v>
      </c>
      <c r="J361">
        <v>97</v>
      </c>
      <c r="K361">
        <v>4</v>
      </c>
      <c r="L361">
        <v>452</v>
      </c>
      <c r="M361">
        <v>5</v>
      </c>
      <c r="N361">
        <v>32</v>
      </c>
      <c r="O361" s="2">
        <v>311766.21000000002</v>
      </c>
      <c r="P361" s="2">
        <v>105.67</v>
      </c>
      <c r="Q361" s="2">
        <v>100.73</v>
      </c>
    </row>
    <row r="362" spans="1:17" x14ac:dyDescent="0.45">
      <c r="A362" s="1">
        <v>45870</v>
      </c>
      <c r="B362">
        <v>2025</v>
      </c>
      <c r="C362">
        <v>11</v>
      </c>
      <c r="D362" t="s">
        <v>25</v>
      </c>
      <c r="E362" s="2">
        <v>4820000</v>
      </c>
      <c r="F362" s="2">
        <v>400743.4</v>
      </c>
      <c r="G362" s="2">
        <v>329399.09999999998</v>
      </c>
      <c r="H362" s="2">
        <v>70789.36</v>
      </c>
      <c r="I362" s="2">
        <v>4400.43</v>
      </c>
      <c r="J362">
        <v>34</v>
      </c>
      <c r="K362">
        <v>3</v>
      </c>
      <c r="L362">
        <v>39</v>
      </c>
      <c r="M362">
        <v>3</v>
      </c>
      <c r="N362">
        <v>14</v>
      </c>
      <c r="O362" s="2">
        <v>32821.01</v>
      </c>
      <c r="P362" s="2">
        <v>120.27</v>
      </c>
      <c r="Q362" s="2">
        <v>118.32</v>
      </c>
    </row>
    <row r="363" spans="1:17" x14ac:dyDescent="0.45">
      <c r="A363" s="1">
        <v>44228</v>
      </c>
      <c r="B363">
        <v>2021</v>
      </c>
      <c r="C363">
        <v>5</v>
      </c>
      <c r="D363" t="s">
        <v>28</v>
      </c>
      <c r="E363" s="2">
        <v>22000000</v>
      </c>
      <c r="F363" s="2">
        <v>1809413.55</v>
      </c>
      <c r="G363" s="2">
        <v>1507678.24</v>
      </c>
      <c r="H363" s="2">
        <v>313579.71000000002</v>
      </c>
      <c r="I363" s="2">
        <v>45171.66</v>
      </c>
      <c r="J363">
        <v>177</v>
      </c>
      <c r="K363">
        <v>16</v>
      </c>
      <c r="L363">
        <v>689</v>
      </c>
      <c r="M363">
        <v>9</v>
      </c>
      <c r="N363">
        <v>38</v>
      </c>
      <c r="O363" s="2">
        <v>566709.06000000006</v>
      </c>
      <c r="P363" s="2">
        <v>99.98</v>
      </c>
      <c r="Q363" s="2">
        <v>100.59</v>
      </c>
    </row>
    <row r="364" spans="1:17" x14ac:dyDescent="0.45">
      <c r="A364" s="1">
        <v>44317</v>
      </c>
      <c r="B364">
        <v>2021</v>
      </c>
      <c r="C364">
        <v>8</v>
      </c>
      <c r="D364" t="s">
        <v>21</v>
      </c>
      <c r="E364" s="2">
        <v>8000000</v>
      </c>
      <c r="F364" s="2">
        <v>672128.02</v>
      </c>
      <c r="G364" s="2">
        <v>419971.07</v>
      </c>
      <c r="H364" s="2">
        <v>219998.87</v>
      </c>
      <c r="I364" s="2">
        <v>29010.560000000001</v>
      </c>
      <c r="J364">
        <v>63</v>
      </c>
      <c r="K364">
        <v>5</v>
      </c>
      <c r="L364">
        <v>62</v>
      </c>
      <c r="M364">
        <v>3</v>
      </c>
      <c r="N364">
        <v>20</v>
      </c>
      <c r="O364" s="2">
        <v>73660.98</v>
      </c>
      <c r="P364" s="2">
        <v>106.04</v>
      </c>
      <c r="Q364" s="2">
        <v>100.93</v>
      </c>
    </row>
    <row r="365" spans="1:17" x14ac:dyDescent="0.45">
      <c r="A365" s="1">
        <v>44958</v>
      </c>
      <c r="B365">
        <v>2023</v>
      </c>
      <c r="C365">
        <v>5</v>
      </c>
      <c r="D365" t="s">
        <v>19</v>
      </c>
      <c r="E365" s="2">
        <v>5142000</v>
      </c>
      <c r="F365" s="2">
        <v>427884.18</v>
      </c>
      <c r="G365" s="2">
        <v>362938.05</v>
      </c>
      <c r="H365" s="2">
        <v>61042.84</v>
      </c>
      <c r="I365" s="2">
        <v>5789.78</v>
      </c>
      <c r="J365">
        <v>37</v>
      </c>
      <c r="K365">
        <v>2</v>
      </c>
      <c r="L365">
        <v>46</v>
      </c>
      <c r="M365">
        <v>3</v>
      </c>
      <c r="N365">
        <v>14</v>
      </c>
      <c r="O365" s="2">
        <v>47429.17</v>
      </c>
      <c r="P365" s="2">
        <v>104.2</v>
      </c>
      <c r="Q365" s="2">
        <v>107.74</v>
      </c>
    </row>
    <row r="366" spans="1:17" x14ac:dyDescent="0.45">
      <c r="A366" s="1">
        <v>45689</v>
      </c>
      <c r="B366">
        <v>2025</v>
      </c>
      <c r="C366">
        <v>5</v>
      </c>
      <c r="D366" t="s">
        <v>24</v>
      </c>
      <c r="E366" s="2">
        <v>15492000</v>
      </c>
      <c r="F366" s="2">
        <v>1197070.67</v>
      </c>
      <c r="G366" s="2">
        <v>661156.21</v>
      </c>
      <c r="H366" s="2">
        <v>495285.66</v>
      </c>
      <c r="I366" s="2">
        <v>65731.929999999993</v>
      </c>
      <c r="J366">
        <v>82</v>
      </c>
      <c r="K366">
        <v>6</v>
      </c>
      <c r="L366">
        <v>149</v>
      </c>
      <c r="M366">
        <v>4</v>
      </c>
      <c r="N366">
        <v>23</v>
      </c>
      <c r="O366" s="2">
        <v>201558.51</v>
      </c>
      <c r="P366" s="2">
        <v>111.75</v>
      </c>
      <c r="Q366" s="2">
        <v>115.87</v>
      </c>
    </row>
    <row r="367" spans="1:17" x14ac:dyDescent="0.45">
      <c r="A367" s="1">
        <v>45839</v>
      </c>
      <c r="B367">
        <v>2025</v>
      </c>
      <c r="C367">
        <v>10</v>
      </c>
      <c r="D367" t="s">
        <v>27</v>
      </c>
      <c r="E367" s="2">
        <v>28688000</v>
      </c>
      <c r="F367" s="2">
        <v>2330864.52</v>
      </c>
      <c r="G367" s="2">
        <v>1818970.38</v>
      </c>
      <c r="H367" s="2">
        <v>514847.42</v>
      </c>
      <c r="I367" s="2">
        <v>80726.77</v>
      </c>
      <c r="J367">
        <v>215</v>
      </c>
      <c r="K367">
        <v>15</v>
      </c>
      <c r="L367">
        <v>586</v>
      </c>
      <c r="M367">
        <v>8</v>
      </c>
      <c r="N367">
        <v>36</v>
      </c>
      <c r="O367" s="2">
        <v>571037.28</v>
      </c>
      <c r="P367" s="2">
        <v>115.68</v>
      </c>
      <c r="Q367" s="2">
        <v>116.2</v>
      </c>
    </row>
    <row r="368" spans="1:17" x14ac:dyDescent="0.45">
      <c r="A368" s="1">
        <v>44621</v>
      </c>
      <c r="B368">
        <v>2022</v>
      </c>
      <c r="C368">
        <v>6</v>
      </c>
      <c r="D368" t="s">
        <v>24</v>
      </c>
      <c r="E368" s="2">
        <v>13972000</v>
      </c>
      <c r="F368" s="2">
        <v>1091593.56</v>
      </c>
      <c r="G368" s="2">
        <v>555445.9</v>
      </c>
      <c r="H368" s="2">
        <v>534650.13</v>
      </c>
      <c r="I368" s="2">
        <v>60396.81</v>
      </c>
      <c r="J368">
        <v>77</v>
      </c>
      <c r="K368">
        <v>6</v>
      </c>
      <c r="L368">
        <v>78</v>
      </c>
      <c r="M368">
        <v>7</v>
      </c>
      <c r="N368">
        <v>24</v>
      </c>
      <c r="O368" s="2">
        <v>164989.94</v>
      </c>
      <c r="P368" s="2">
        <v>110.26</v>
      </c>
      <c r="Q368" s="2">
        <v>104.84</v>
      </c>
    </row>
    <row r="369" spans="1:17" x14ac:dyDescent="0.45">
      <c r="A369" s="1">
        <v>45108</v>
      </c>
      <c r="B369">
        <v>2023</v>
      </c>
      <c r="C369">
        <v>10</v>
      </c>
      <c r="D369" t="s">
        <v>21</v>
      </c>
      <c r="E369" s="2">
        <v>8570000</v>
      </c>
      <c r="F369" s="2">
        <v>789478.71</v>
      </c>
      <c r="G369" s="2">
        <v>455220.68</v>
      </c>
      <c r="H369" s="2">
        <v>229338.92</v>
      </c>
      <c r="I369" s="2">
        <v>135411.66</v>
      </c>
      <c r="J369">
        <v>66</v>
      </c>
      <c r="K369">
        <v>6</v>
      </c>
      <c r="L369">
        <v>24</v>
      </c>
      <c r="M369">
        <v>2</v>
      </c>
      <c r="N369">
        <v>16</v>
      </c>
      <c r="O369" s="2">
        <v>59191.92</v>
      </c>
      <c r="P369" s="2">
        <v>102.62</v>
      </c>
      <c r="Q369" s="2">
        <v>109.16</v>
      </c>
    </row>
    <row r="370" spans="1:17" x14ac:dyDescent="0.45">
      <c r="A370" s="1">
        <v>45536</v>
      </c>
      <c r="B370">
        <v>2024</v>
      </c>
      <c r="C370">
        <v>12</v>
      </c>
      <c r="D370" t="s">
        <v>17</v>
      </c>
      <c r="E370" s="2">
        <v>8094000</v>
      </c>
      <c r="F370" s="2">
        <v>666358.17000000004</v>
      </c>
      <c r="G370" s="2">
        <v>363153.03</v>
      </c>
      <c r="H370" s="2">
        <v>295682.34999999998</v>
      </c>
      <c r="I370" s="2">
        <v>22466.12</v>
      </c>
      <c r="J370">
        <v>46</v>
      </c>
      <c r="K370">
        <v>3</v>
      </c>
      <c r="L370">
        <v>71</v>
      </c>
      <c r="M370">
        <v>0</v>
      </c>
      <c r="N370">
        <v>12</v>
      </c>
      <c r="O370" s="2">
        <v>16498.02</v>
      </c>
      <c r="P370" s="2">
        <v>104.28</v>
      </c>
      <c r="Q370" s="2">
        <v>113.08</v>
      </c>
    </row>
    <row r="371" spans="1:17" x14ac:dyDescent="0.45">
      <c r="A371" s="1">
        <v>45078</v>
      </c>
      <c r="B371">
        <v>2023</v>
      </c>
      <c r="C371">
        <v>9</v>
      </c>
      <c r="D371" t="s">
        <v>28</v>
      </c>
      <c r="E371" s="2">
        <v>23567000</v>
      </c>
      <c r="F371" s="2">
        <v>2153388.98</v>
      </c>
      <c r="G371" s="2">
        <v>1634408.54</v>
      </c>
      <c r="H371" s="2">
        <v>370224.73</v>
      </c>
      <c r="I371" s="2">
        <v>44720.74</v>
      </c>
      <c r="J371">
        <v>183</v>
      </c>
      <c r="K371">
        <v>15</v>
      </c>
      <c r="L371">
        <v>835</v>
      </c>
      <c r="M371">
        <v>9</v>
      </c>
      <c r="N371">
        <v>35</v>
      </c>
      <c r="O371" s="2"/>
      <c r="P371" s="2">
        <v>103.52</v>
      </c>
      <c r="Q371" s="2">
        <v>108.01</v>
      </c>
    </row>
    <row r="372" spans="1:17" x14ac:dyDescent="0.45">
      <c r="A372" s="1">
        <v>45597</v>
      </c>
      <c r="B372">
        <v>2025</v>
      </c>
      <c r="C372">
        <v>2</v>
      </c>
      <c r="D372" t="s">
        <v>25</v>
      </c>
      <c r="E372" s="2">
        <v>4820000</v>
      </c>
      <c r="F372" s="2">
        <v>411630.15</v>
      </c>
      <c r="G372" s="2">
        <v>322821.90999999997</v>
      </c>
      <c r="H372" s="2">
        <v>77540.69</v>
      </c>
      <c r="I372" s="2">
        <v>10491.91</v>
      </c>
      <c r="J372">
        <v>32</v>
      </c>
      <c r="K372">
        <v>1</v>
      </c>
      <c r="L372">
        <v>50</v>
      </c>
      <c r="M372">
        <v>0</v>
      </c>
      <c r="N372">
        <v>8</v>
      </c>
      <c r="O372" s="2">
        <v>7247.05</v>
      </c>
      <c r="P372" s="2">
        <v>107.87</v>
      </c>
      <c r="Q372" s="2">
        <v>114.42</v>
      </c>
    </row>
    <row r="373" spans="1:17" x14ac:dyDescent="0.45">
      <c r="A373" s="1">
        <v>45778</v>
      </c>
      <c r="B373">
        <v>2025</v>
      </c>
      <c r="C373">
        <v>8</v>
      </c>
      <c r="D373" t="s">
        <v>28</v>
      </c>
      <c r="E373" s="2">
        <v>25246000</v>
      </c>
      <c r="F373" s="2">
        <v>2247787.56</v>
      </c>
      <c r="G373" s="2">
        <v>1818456.9</v>
      </c>
      <c r="H373" s="2">
        <v>414483.41</v>
      </c>
      <c r="I373" s="2">
        <v>24721.7</v>
      </c>
      <c r="J373">
        <v>186</v>
      </c>
      <c r="K373">
        <v>18</v>
      </c>
      <c r="L373">
        <v>734</v>
      </c>
      <c r="M373">
        <v>7</v>
      </c>
      <c r="N373">
        <v>31</v>
      </c>
      <c r="O373" s="2">
        <v>427253.36</v>
      </c>
      <c r="P373" s="2">
        <v>117.43</v>
      </c>
      <c r="Q373" s="2">
        <v>116.5</v>
      </c>
    </row>
    <row r="374" spans="1:17" x14ac:dyDescent="0.45">
      <c r="A374" s="1">
        <v>44501</v>
      </c>
      <c r="B374">
        <v>2022</v>
      </c>
      <c r="C374">
        <v>2</v>
      </c>
      <c r="D374" t="s">
        <v>27</v>
      </c>
      <c r="E374" s="2">
        <v>25875000</v>
      </c>
      <c r="F374" s="2">
        <v>2513476.9300000002</v>
      </c>
      <c r="G374" s="2">
        <v>1734515.13</v>
      </c>
      <c r="H374" s="2">
        <v>627373.27</v>
      </c>
      <c r="I374" s="2">
        <v>235962.78</v>
      </c>
      <c r="J374">
        <v>211</v>
      </c>
      <c r="K374">
        <v>17</v>
      </c>
      <c r="L374">
        <v>952</v>
      </c>
      <c r="M374">
        <v>10</v>
      </c>
      <c r="N374">
        <v>38</v>
      </c>
      <c r="O374" s="2">
        <v>712376.69</v>
      </c>
      <c r="P374" s="2">
        <v>105.7</v>
      </c>
      <c r="Q374" s="2">
        <v>103.96</v>
      </c>
    </row>
    <row r="375" spans="1:17" x14ac:dyDescent="0.45">
      <c r="A375" s="1">
        <v>45261</v>
      </c>
      <c r="B375">
        <v>2024</v>
      </c>
      <c r="C375">
        <v>3</v>
      </c>
      <c r="D375" t="s">
        <v>24</v>
      </c>
      <c r="E375" s="2">
        <v>14968000</v>
      </c>
      <c r="F375" s="2">
        <v>1172133.6399999999</v>
      </c>
      <c r="G375" s="2">
        <v>610620.24</v>
      </c>
      <c r="H375" s="2">
        <v>498216.66</v>
      </c>
      <c r="I375" s="2">
        <v>91726.79</v>
      </c>
      <c r="J375">
        <v>79</v>
      </c>
      <c r="K375">
        <v>6</v>
      </c>
      <c r="L375">
        <v>138</v>
      </c>
      <c r="M375">
        <v>6</v>
      </c>
      <c r="N375">
        <v>24</v>
      </c>
      <c r="O375" s="2">
        <v>212218.82</v>
      </c>
      <c r="P375" s="2">
        <v>100.46</v>
      </c>
      <c r="Q375" s="2">
        <v>111.49</v>
      </c>
    </row>
    <row r="376" spans="1:17" x14ac:dyDescent="0.45">
      <c r="A376" s="1">
        <v>45231</v>
      </c>
      <c r="B376">
        <v>2024</v>
      </c>
      <c r="C376">
        <v>2</v>
      </c>
      <c r="D376" t="s">
        <v>27</v>
      </c>
      <c r="E376" s="2">
        <v>27718000</v>
      </c>
      <c r="F376" s="2">
        <v>2427503.1800000002</v>
      </c>
      <c r="G376" s="2">
        <v>1903251.79</v>
      </c>
      <c r="H376" s="2">
        <v>526274.4</v>
      </c>
      <c r="I376" s="2">
        <v>44512.55</v>
      </c>
      <c r="J376">
        <v>214</v>
      </c>
      <c r="K376">
        <v>14</v>
      </c>
      <c r="L376">
        <v>970</v>
      </c>
      <c r="M376">
        <v>8</v>
      </c>
      <c r="N376">
        <v>37</v>
      </c>
      <c r="O376" s="2">
        <v>656120.07999999996</v>
      </c>
      <c r="P376" s="2">
        <v>100.57</v>
      </c>
      <c r="Q376" s="2">
        <v>110.3</v>
      </c>
    </row>
    <row r="377" spans="1:17" x14ac:dyDescent="0.45">
      <c r="A377" s="1">
        <v>44958</v>
      </c>
      <c r="B377">
        <v>2023</v>
      </c>
      <c r="C377">
        <v>5</v>
      </c>
      <c r="D377" t="s">
        <v>28</v>
      </c>
      <c r="E377" s="2">
        <v>23567000</v>
      </c>
      <c r="F377" s="2">
        <v>2132439.73</v>
      </c>
      <c r="G377" s="2">
        <v>1634405.3</v>
      </c>
      <c r="H377" s="2">
        <v>399629.14</v>
      </c>
      <c r="I377" s="2">
        <v>25883.86</v>
      </c>
      <c r="J377">
        <v>176</v>
      </c>
      <c r="K377">
        <v>16</v>
      </c>
      <c r="L377">
        <v>604</v>
      </c>
      <c r="M377">
        <v>9</v>
      </c>
      <c r="N377">
        <v>37</v>
      </c>
      <c r="O377" s="2">
        <v>441582.58</v>
      </c>
      <c r="P377" s="2">
        <v>106.49</v>
      </c>
      <c r="Q377" s="2">
        <v>107.32</v>
      </c>
    </row>
    <row r="378" spans="1:17" x14ac:dyDescent="0.45">
      <c r="A378" s="1">
        <v>45931</v>
      </c>
      <c r="B378">
        <v>2026</v>
      </c>
      <c r="C378">
        <v>1</v>
      </c>
      <c r="D378" t="s">
        <v>23</v>
      </c>
      <c r="E378" s="2">
        <v>22566000</v>
      </c>
      <c r="F378" s="2">
        <v>2003625.28</v>
      </c>
      <c r="G378" s="2">
        <v>954092.26</v>
      </c>
      <c r="H378" s="2">
        <v>987436.66</v>
      </c>
      <c r="I378" s="2">
        <v>73062.28</v>
      </c>
      <c r="J378">
        <v>100</v>
      </c>
      <c r="K378">
        <v>7</v>
      </c>
      <c r="L378">
        <v>502</v>
      </c>
      <c r="M378">
        <v>10</v>
      </c>
      <c r="N378">
        <v>36</v>
      </c>
      <c r="O378" s="2">
        <v>488096.03</v>
      </c>
      <c r="P378" s="2">
        <v>121.63</v>
      </c>
      <c r="Q378" s="2">
        <v>118.28</v>
      </c>
    </row>
    <row r="379" spans="1:17" x14ac:dyDescent="0.45">
      <c r="A379" s="1">
        <v>44470</v>
      </c>
      <c r="B379">
        <v>2022</v>
      </c>
      <c r="C379">
        <v>1</v>
      </c>
      <c r="D379" t="s">
        <v>27</v>
      </c>
      <c r="E379" s="2">
        <v>25875000</v>
      </c>
      <c r="F379" s="2">
        <v>2245372.88</v>
      </c>
      <c r="G379" s="2">
        <v>1673426.13</v>
      </c>
      <c r="H379" s="2">
        <v>461391.75</v>
      </c>
      <c r="I379" s="2">
        <v>51834.81</v>
      </c>
      <c r="J379">
        <v>210</v>
      </c>
      <c r="K379">
        <v>16</v>
      </c>
      <c r="L379">
        <v>792</v>
      </c>
      <c r="M379">
        <v>10</v>
      </c>
      <c r="N379">
        <v>36</v>
      </c>
      <c r="O379" s="2">
        <v>605906.36</v>
      </c>
      <c r="P379" s="2">
        <v>105.97</v>
      </c>
      <c r="Q379" s="2">
        <v>102.3</v>
      </c>
    </row>
    <row r="380" spans="1:17" x14ac:dyDescent="0.45">
      <c r="A380" s="1">
        <v>45108</v>
      </c>
      <c r="B380">
        <v>2023</v>
      </c>
      <c r="C380">
        <v>10</v>
      </c>
      <c r="D380" t="s">
        <v>29</v>
      </c>
      <c r="E380" s="2">
        <v>23567000</v>
      </c>
      <c r="F380" s="2">
        <v>2089943.1</v>
      </c>
      <c r="G380" s="2">
        <v>1617763.72</v>
      </c>
      <c r="H380" s="2">
        <v>418822.5</v>
      </c>
      <c r="I380" s="2">
        <v>68114.23</v>
      </c>
      <c r="J380">
        <v>179</v>
      </c>
      <c r="K380">
        <v>12</v>
      </c>
      <c r="L380">
        <v>495</v>
      </c>
      <c r="M380">
        <v>8</v>
      </c>
      <c r="N380">
        <v>34</v>
      </c>
      <c r="O380" s="2">
        <v>480178.56</v>
      </c>
      <c r="P380" s="2">
        <v>103.49</v>
      </c>
      <c r="Q380" s="2">
        <v>109.54</v>
      </c>
    </row>
    <row r="381" spans="1:17" x14ac:dyDescent="0.45">
      <c r="A381" s="1">
        <v>45778</v>
      </c>
      <c r="B381">
        <v>2025</v>
      </c>
      <c r="C381">
        <v>8</v>
      </c>
      <c r="D381" t="s">
        <v>18</v>
      </c>
      <c r="E381" s="2">
        <v>4016000</v>
      </c>
      <c r="F381" s="2">
        <v>332507.46000000002</v>
      </c>
      <c r="G381" s="2">
        <v>289061.49</v>
      </c>
      <c r="H381" s="2">
        <v>47130.12</v>
      </c>
      <c r="I381" s="2">
        <v>4919.1000000000004</v>
      </c>
      <c r="J381">
        <v>28</v>
      </c>
      <c r="K381">
        <v>0</v>
      </c>
      <c r="L381">
        <v>35</v>
      </c>
      <c r="M381">
        <v>2</v>
      </c>
      <c r="N381">
        <v>13</v>
      </c>
      <c r="O381" s="2">
        <v>24674.84</v>
      </c>
      <c r="P381" s="2">
        <v>115.13</v>
      </c>
      <c r="Q381" s="2">
        <v>117.58</v>
      </c>
    </row>
    <row r="382" spans="1:17" x14ac:dyDescent="0.45">
      <c r="A382" s="1">
        <v>44531</v>
      </c>
      <c r="B382">
        <v>2022</v>
      </c>
      <c r="C382">
        <v>3</v>
      </c>
      <c r="D382" t="s">
        <v>23</v>
      </c>
      <c r="E382" s="2">
        <v>19665000</v>
      </c>
      <c r="F382" s="2">
        <v>1363955.4</v>
      </c>
      <c r="G382" s="2">
        <v>737710.99</v>
      </c>
      <c r="H382" s="2">
        <v>714345.67</v>
      </c>
      <c r="I382" s="2">
        <v>111060.7</v>
      </c>
      <c r="J382">
        <v>93</v>
      </c>
      <c r="K382">
        <v>7</v>
      </c>
      <c r="L382">
        <v>493</v>
      </c>
      <c r="M382">
        <v>5</v>
      </c>
      <c r="N382">
        <v>26</v>
      </c>
      <c r="O382" s="2">
        <v>306159.08</v>
      </c>
      <c r="P382" s="2">
        <v>110.4</v>
      </c>
      <c r="Q382" s="2">
        <v>103.66</v>
      </c>
    </row>
    <row r="383" spans="1:17" x14ac:dyDescent="0.45">
      <c r="A383" s="1">
        <v>44805</v>
      </c>
      <c r="B383">
        <v>2022</v>
      </c>
      <c r="C383">
        <v>12</v>
      </c>
      <c r="D383" t="s">
        <v>28</v>
      </c>
      <c r="E383" s="2">
        <v>22770000</v>
      </c>
      <c r="F383" s="2">
        <v>1877846.39</v>
      </c>
      <c r="G383" s="2">
        <v>1476367.69</v>
      </c>
      <c r="H383" s="2">
        <v>349560.46</v>
      </c>
      <c r="I383" s="2">
        <v>37480.5</v>
      </c>
      <c r="J383">
        <v>175</v>
      </c>
      <c r="K383">
        <v>13</v>
      </c>
      <c r="L383">
        <v>667</v>
      </c>
      <c r="M383">
        <v>8</v>
      </c>
      <c r="N383">
        <v>30</v>
      </c>
      <c r="O383" s="2">
        <v>505033.26</v>
      </c>
      <c r="P383" s="2">
        <v>112.87</v>
      </c>
      <c r="Q383" s="2">
        <v>106.05</v>
      </c>
    </row>
    <row r="384" spans="1:17" x14ac:dyDescent="0.45">
      <c r="A384" s="1">
        <v>44835</v>
      </c>
      <c r="B384">
        <v>2023</v>
      </c>
      <c r="C384">
        <v>1</v>
      </c>
      <c r="D384" t="s">
        <v>27</v>
      </c>
      <c r="E384" s="2">
        <v>26781000</v>
      </c>
      <c r="F384" s="2">
        <v>2319283.94</v>
      </c>
      <c r="G384" s="2">
        <v>1675767.54</v>
      </c>
      <c r="H384" s="2">
        <v>623838.86</v>
      </c>
      <c r="I384" s="2">
        <v>58721.72</v>
      </c>
      <c r="J384">
        <v>207</v>
      </c>
      <c r="K384">
        <v>16</v>
      </c>
      <c r="L384">
        <v>888</v>
      </c>
      <c r="M384">
        <v>9</v>
      </c>
      <c r="N384">
        <v>41</v>
      </c>
      <c r="O384" s="2">
        <v>727451.9</v>
      </c>
      <c r="P384" s="2">
        <v>109.98</v>
      </c>
      <c r="Q384" s="2">
        <v>106.56</v>
      </c>
    </row>
    <row r="385" spans="1:17" x14ac:dyDescent="0.45">
      <c r="A385" s="1">
        <v>45108</v>
      </c>
      <c r="B385">
        <v>2023</v>
      </c>
      <c r="C385">
        <v>10</v>
      </c>
      <c r="D385" t="s">
        <v>22</v>
      </c>
      <c r="E385" s="2">
        <v>6642000</v>
      </c>
      <c r="F385" s="2">
        <v>576240.36</v>
      </c>
      <c r="G385" s="2">
        <v>261828.42</v>
      </c>
      <c r="H385" s="2">
        <v>219243.87</v>
      </c>
      <c r="I385" s="2">
        <v>81743.14</v>
      </c>
      <c r="J385">
        <v>31</v>
      </c>
      <c r="K385">
        <v>2</v>
      </c>
      <c r="L385">
        <v>46</v>
      </c>
      <c r="M385">
        <v>0</v>
      </c>
      <c r="N385">
        <v>16</v>
      </c>
      <c r="O385" s="2">
        <v>16686.55</v>
      </c>
      <c r="P385" s="2">
        <v>102.95</v>
      </c>
      <c r="Q385" s="2">
        <v>109.29</v>
      </c>
    </row>
    <row r="386" spans="1:17" x14ac:dyDescent="0.45">
      <c r="A386" s="1">
        <v>45839</v>
      </c>
      <c r="B386">
        <v>2025</v>
      </c>
      <c r="C386">
        <v>10</v>
      </c>
      <c r="D386" t="s">
        <v>19</v>
      </c>
      <c r="E386" s="2">
        <v>5508000</v>
      </c>
      <c r="F386" s="2">
        <v>492240.58</v>
      </c>
      <c r="G386" s="2">
        <v>415987.54</v>
      </c>
      <c r="H386" s="2">
        <v>69850.320000000007</v>
      </c>
      <c r="I386" s="2">
        <v>4996.1099999999997</v>
      </c>
      <c r="J386">
        <v>39</v>
      </c>
      <c r="K386">
        <v>3</v>
      </c>
      <c r="L386">
        <v>43</v>
      </c>
      <c r="M386">
        <v>1</v>
      </c>
      <c r="N386">
        <v>13</v>
      </c>
      <c r="O386" s="2">
        <v>21263.62</v>
      </c>
      <c r="P386" s="2">
        <v>120.25</v>
      </c>
      <c r="Q386" s="2">
        <v>117.14</v>
      </c>
    </row>
    <row r="387" spans="1:17" x14ac:dyDescent="0.45">
      <c r="A387" s="1">
        <v>45901</v>
      </c>
      <c r="B387">
        <v>2025</v>
      </c>
      <c r="C387">
        <v>12</v>
      </c>
      <c r="D387" t="s">
        <v>22</v>
      </c>
      <c r="E387" s="2">
        <v>7115000</v>
      </c>
      <c r="F387" s="2">
        <v>601904.48</v>
      </c>
      <c r="G387" s="2">
        <v>294584.81</v>
      </c>
      <c r="H387" s="2">
        <v>292108.95</v>
      </c>
      <c r="I387" s="2">
        <v>11274.36</v>
      </c>
      <c r="J387">
        <v>31</v>
      </c>
      <c r="K387">
        <v>4</v>
      </c>
      <c r="L387">
        <v>34</v>
      </c>
      <c r="M387">
        <v>5</v>
      </c>
      <c r="N387">
        <v>13</v>
      </c>
      <c r="O387" s="2">
        <v>69490.62</v>
      </c>
      <c r="P387" s="2">
        <v>120.44</v>
      </c>
      <c r="Q387" s="2">
        <v>117.93</v>
      </c>
    </row>
    <row r="388" spans="1:17" x14ac:dyDescent="0.45">
      <c r="A388" s="1">
        <v>45505</v>
      </c>
      <c r="B388">
        <v>2024</v>
      </c>
      <c r="C388">
        <v>11</v>
      </c>
      <c r="D388" t="s">
        <v>17</v>
      </c>
      <c r="E388" s="2">
        <v>8094000</v>
      </c>
      <c r="F388" s="2">
        <v>726985.08</v>
      </c>
      <c r="G388" s="2">
        <v>359376.97</v>
      </c>
      <c r="H388" s="2">
        <v>319677.09999999998</v>
      </c>
      <c r="I388" s="2">
        <v>20946.66</v>
      </c>
      <c r="J388">
        <v>44</v>
      </c>
      <c r="L388">
        <v>79</v>
      </c>
      <c r="M388">
        <v>3</v>
      </c>
      <c r="N388">
        <v>15</v>
      </c>
      <c r="O388" s="2">
        <v>65995.91</v>
      </c>
      <c r="P388" s="2">
        <v>107.59</v>
      </c>
      <c r="Q388" s="2">
        <v>113.22</v>
      </c>
    </row>
    <row r="389" spans="1:17" x14ac:dyDescent="0.45">
      <c r="A389" s="1">
        <v>45170</v>
      </c>
      <c r="B389">
        <v>2023</v>
      </c>
      <c r="C389">
        <v>12</v>
      </c>
      <c r="D389" t="s">
        <v>23</v>
      </c>
      <c r="E389" s="2">
        <v>20353000</v>
      </c>
      <c r="F389" s="2">
        <v>1649643.31</v>
      </c>
      <c r="G389" s="2">
        <v>784808.69</v>
      </c>
      <c r="H389" s="2">
        <v>784158.64</v>
      </c>
      <c r="I389" s="2">
        <v>38385.65</v>
      </c>
      <c r="J389">
        <v>95</v>
      </c>
      <c r="K389">
        <v>7</v>
      </c>
      <c r="L389">
        <v>405</v>
      </c>
      <c r="M389">
        <v>7</v>
      </c>
      <c r="N389">
        <v>31</v>
      </c>
      <c r="O389" s="2">
        <v>330868.08</v>
      </c>
      <c r="P389" s="2">
        <v>97.47</v>
      </c>
      <c r="Q389" s="2">
        <v>109.3</v>
      </c>
    </row>
    <row r="390" spans="1:17" x14ac:dyDescent="0.45">
      <c r="A390" s="1">
        <v>45717</v>
      </c>
      <c r="B390">
        <v>2025</v>
      </c>
      <c r="C390">
        <v>6</v>
      </c>
      <c r="D390" t="s">
        <v>28</v>
      </c>
      <c r="E390" s="2">
        <v>25246000</v>
      </c>
      <c r="F390" s="2">
        <v>2277084.37</v>
      </c>
      <c r="G390" s="2">
        <v>1781517.94</v>
      </c>
      <c r="H390" s="2">
        <v>412374.74</v>
      </c>
      <c r="I390" s="2">
        <v>19773.259999999998</v>
      </c>
      <c r="J390">
        <v>187</v>
      </c>
      <c r="K390">
        <v>15</v>
      </c>
      <c r="L390">
        <v>718</v>
      </c>
      <c r="M390">
        <v>8</v>
      </c>
      <c r="N390">
        <v>30</v>
      </c>
      <c r="O390" s="2">
        <v>454288.55</v>
      </c>
      <c r="P390" s="2">
        <v>111.37</v>
      </c>
      <c r="Q390" s="2">
        <v>115.77</v>
      </c>
    </row>
    <row r="391" spans="1:17" x14ac:dyDescent="0.45">
      <c r="A391" s="1">
        <v>44228</v>
      </c>
      <c r="B391">
        <v>2021</v>
      </c>
      <c r="C391">
        <v>5</v>
      </c>
      <c r="D391" t="s">
        <v>18</v>
      </c>
      <c r="E391" s="2">
        <v>3500000</v>
      </c>
      <c r="F391" s="2">
        <v>283478.33</v>
      </c>
      <c r="G391" s="2">
        <v>234298.47</v>
      </c>
      <c r="H391" s="2">
        <v>36992.81</v>
      </c>
      <c r="I391" s="2">
        <v>6662.56</v>
      </c>
      <c r="J391">
        <v>27</v>
      </c>
      <c r="L391">
        <v>18</v>
      </c>
      <c r="M391">
        <v>3</v>
      </c>
      <c r="N391">
        <v>16</v>
      </c>
      <c r="O391" s="2">
        <v>27954.53</v>
      </c>
      <c r="P391" s="2">
        <v>100.29</v>
      </c>
      <c r="Q391" s="2">
        <v>99.11</v>
      </c>
    </row>
    <row r="392" spans="1:17" x14ac:dyDescent="0.45">
      <c r="A392" s="1">
        <v>44317</v>
      </c>
      <c r="B392">
        <v>2021</v>
      </c>
      <c r="C392">
        <v>8</v>
      </c>
      <c r="D392" t="s">
        <v>28</v>
      </c>
      <c r="E392" s="2">
        <v>22000000</v>
      </c>
      <c r="F392" s="2">
        <v>1834095.47</v>
      </c>
      <c r="G392" s="2">
        <v>1474429.94</v>
      </c>
      <c r="H392" s="2">
        <v>381660.12</v>
      </c>
      <c r="I392" s="2">
        <v>43944.41</v>
      </c>
      <c r="J392">
        <v>172</v>
      </c>
      <c r="K392">
        <v>14</v>
      </c>
      <c r="L392">
        <v>849</v>
      </c>
      <c r="M392">
        <v>9</v>
      </c>
      <c r="N392">
        <v>34</v>
      </c>
      <c r="O392" s="2">
        <v>516274.66</v>
      </c>
      <c r="P392" s="2">
        <v>107.09</v>
      </c>
      <c r="Q392" s="2">
        <v>102.25</v>
      </c>
    </row>
    <row r="393" spans="1:17" x14ac:dyDescent="0.45">
      <c r="A393" s="1">
        <v>45870</v>
      </c>
      <c r="B393">
        <v>2025</v>
      </c>
      <c r="C393">
        <v>11</v>
      </c>
      <c r="D393" t="s">
        <v>19</v>
      </c>
      <c r="E393" s="2">
        <v>5508000</v>
      </c>
      <c r="F393" s="2">
        <v>481586.28</v>
      </c>
      <c r="G393" s="2">
        <v>409451.37</v>
      </c>
      <c r="H393" s="2">
        <v>67698.350000000006</v>
      </c>
      <c r="I393" s="2">
        <v>4619.25</v>
      </c>
      <c r="J393">
        <v>39</v>
      </c>
      <c r="K393">
        <v>2</v>
      </c>
      <c r="L393">
        <v>20</v>
      </c>
      <c r="M393">
        <v>1</v>
      </c>
      <c r="N393">
        <v>10</v>
      </c>
      <c r="O393" s="2">
        <v>16887.11</v>
      </c>
      <c r="P393" s="2">
        <v>115.91</v>
      </c>
      <c r="Q393" s="2">
        <v>117.94</v>
      </c>
    </row>
    <row r="394" spans="1:17" x14ac:dyDescent="0.45">
      <c r="A394" s="1">
        <v>44652</v>
      </c>
      <c r="B394">
        <v>2022</v>
      </c>
      <c r="C394">
        <v>7</v>
      </c>
      <c r="D394" t="s">
        <v>25</v>
      </c>
      <c r="E394" s="2">
        <v>4347000</v>
      </c>
      <c r="F394" s="2">
        <v>364932.31</v>
      </c>
      <c r="G394" s="2">
        <v>296428.83</v>
      </c>
      <c r="H394" s="2">
        <v>66595.509999999995</v>
      </c>
      <c r="I394" s="2">
        <v>3840.21</v>
      </c>
      <c r="J394">
        <v>33</v>
      </c>
      <c r="K394">
        <v>0</v>
      </c>
      <c r="L394">
        <v>60</v>
      </c>
      <c r="M394">
        <v>2</v>
      </c>
      <c r="N394">
        <v>10</v>
      </c>
      <c r="O394" s="2">
        <v>24253.53</v>
      </c>
      <c r="P394" s="2">
        <v>110.48</v>
      </c>
      <c r="Q394" s="2">
        <v>105.24</v>
      </c>
    </row>
    <row r="395" spans="1:17" x14ac:dyDescent="0.45">
      <c r="A395" s="1">
        <v>44348</v>
      </c>
      <c r="B395">
        <v>2021</v>
      </c>
      <c r="C395">
        <v>9</v>
      </c>
      <c r="D395" t="s">
        <v>18</v>
      </c>
      <c r="E395" s="2">
        <v>3500000</v>
      </c>
      <c r="F395" s="2">
        <v>284516.71000000002</v>
      </c>
      <c r="G395" s="2">
        <v>239174.91</v>
      </c>
      <c r="H395" s="2">
        <v>38714.78</v>
      </c>
      <c r="I395" s="2">
        <v>2746.01</v>
      </c>
      <c r="J395">
        <v>27</v>
      </c>
      <c r="K395">
        <v>1</v>
      </c>
      <c r="L395">
        <v>27</v>
      </c>
      <c r="M395">
        <v>5</v>
      </c>
      <c r="N395">
        <v>15</v>
      </c>
      <c r="O395" s="2">
        <v>44941.99</v>
      </c>
      <c r="P395" s="2">
        <v>106.46</v>
      </c>
      <c r="Q395" s="2">
        <v>101.86</v>
      </c>
    </row>
    <row r="396" spans="1:17" x14ac:dyDescent="0.45">
      <c r="A396" s="1">
        <v>44896</v>
      </c>
      <c r="B396">
        <v>2023</v>
      </c>
      <c r="C396">
        <v>3</v>
      </c>
      <c r="D396" t="s">
        <v>27</v>
      </c>
      <c r="E396" s="2">
        <v>26781000</v>
      </c>
      <c r="F396" s="2">
        <v>2387164.6</v>
      </c>
      <c r="G396" s="2">
        <v>1810122.07</v>
      </c>
      <c r="H396" s="2">
        <v>589207.55000000005</v>
      </c>
      <c r="I396" s="2">
        <v>69494.149999999994</v>
      </c>
      <c r="J396">
        <v>211</v>
      </c>
      <c r="K396">
        <v>18</v>
      </c>
      <c r="L396">
        <v>1236</v>
      </c>
      <c r="M396">
        <v>12</v>
      </c>
      <c r="N396">
        <v>38</v>
      </c>
      <c r="O396" s="2">
        <v>767532.14</v>
      </c>
      <c r="P396" s="2">
        <v>105.8</v>
      </c>
      <c r="Q396" s="2">
        <v>106.18</v>
      </c>
    </row>
    <row r="397" spans="1:17" x14ac:dyDescent="0.45">
      <c r="A397" s="1">
        <v>45413</v>
      </c>
      <c r="B397">
        <v>2024</v>
      </c>
      <c r="C397">
        <v>8</v>
      </c>
      <c r="D397" t="s">
        <v>21</v>
      </c>
      <c r="E397" s="2">
        <v>8870000</v>
      </c>
      <c r="F397" s="2">
        <v>778275.95</v>
      </c>
      <c r="G397" s="2">
        <v>482270.53</v>
      </c>
      <c r="H397" s="2">
        <v>275326.59999999998</v>
      </c>
      <c r="I397" s="2">
        <v>21188</v>
      </c>
      <c r="J397">
        <v>65</v>
      </c>
      <c r="K397">
        <v>4</v>
      </c>
      <c r="L397">
        <v>99</v>
      </c>
      <c r="M397">
        <v>2</v>
      </c>
      <c r="N397">
        <v>19</v>
      </c>
      <c r="O397" s="2">
        <v>65541.11</v>
      </c>
      <c r="P397" s="2">
        <v>102.93</v>
      </c>
      <c r="Q397" s="2">
        <v>112.24</v>
      </c>
    </row>
    <row r="398" spans="1:17" x14ac:dyDescent="0.45">
      <c r="A398" s="1">
        <v>44256</v>
      </c>
      <c r="B398">
        <v>2021</v>
      </c>
      <c r="C398">
        <v>6</v>
      </c>
      <c r="D398" t="s">
        <v>21</v>
      </c>
      <c r="E398" s="2">
        <v>8000000</v>
      </c>
      <c r="F398" s="2">
        <v>635110.23</v>
      </c>
      <c r="G398" s="2">
        <v>434379.26</v>
      </c>
      <c r="H398" s="2">
        <v>182708.38</v>
      </c>
      <c r="I398" s="2">
        <v>26373.1</v>
      </c>
      <c r="J398">
        <v>65</v>
      </c>
      <c r="K398">
        <v>3</v>
      </c>
      <c r="L398">
        <v>125</v>
      </c>
      <c r="M398">
        <v>1</v>
      </c>
      <c r="N398">
        <v>13</v>
      </c>
      <c r="O398" s="2">
        <v>28179.61</v>
      </c>
      <c r="P398" s="2">
        <v>102.29</v>
      </c>
      <c r="Q398" s="2">
        <v>100.98</v>
      </c>
    </row>
    <row r="399" spans="1:17" x14ac:dyDescent="0.45">
      <c r="A399" s="1">
        <v>45689</v>
      </c>
      <c r="B399">
        <v>2025</v>
      </c>
      <c r="C399">
        <v>5</v>
      </c>
      <c r="D399" t="s">
        <v>22</v>
      </c>
      <c r="E399" s="2">
        <v>7115000</v>
      </c>
      <c r="F399" s="2">
        <v>647068.03</v>
      </c>
      <c r="G399" s="2">
        <v>309222.82</v>
      </c>
      <c r="H399" s="2">
        <v>237012.06</v>
      </c>
      <c r="I399" s="2">
        <v>118236.13</v>
      </c>
      <c r="J399">
        <v>32</v>
      </c>
      <c r="K399">
        <v>2</v>
      </c>
      <c r="L399">
        <v>28</v>
      </c>
      <c r="M399">
        <v>6</v>
      </c>
      <c r="N399">
        <v>15</v>
      </c>
      <c r="O399" s="2">
        <v>107024.23</v>
      </c>
      <c r="P399" s="2">
        <v>108.59</v>
      </c>
      <c r="Q399" s="2">
        <v>115.47</v>
      </c>
    </row>
    <row r="400" spans="1:17" x14ac:dyDescent="0.45">
      <c r="A400" s="1">
        <v>45962</v>
      </c>
      <c r="B400">
        <v>2026</v>
      </c>
      <c r="C400">
        <v>2</v>
      </c>
      <c r="D400" t="s">
        <v>19</v>
      </c>
      <c r="E400" s="2">
        <v>5701000</v>
      </c>
      <c r="F400" s="2">
        <v>553734.52</v>
      </c>
      <c r="G400" s="2">
        <v>426904.3</v>
      </c>
      <c r="H400" s="2">
        <v>80505.8</v>
      </c>
      <c r="I400" s="2">
        <v>42561.13</v>
      </c>
      <c r="J400">
        <v>38</v>
      </c>
      <c r="K400">
        <v>3</v>
      </c>
      <c r="L400">
        <v>45</v>
      </c>
      <c r="M400">
        <v>2</v>
      </c>
      <c r="N400">
        <v>15</v>
      </c>
      <c r="O400" s="2">
        <v>39889.94</v>
      </c>
      <c r="P400" s="2">
        <v>122.99</v>
      </c>
      <c r="Q400" s="2">
        <v>118.69</v>
      </c>
    </row>
    <row r="401" spans="1:17" x14ac:dyDescent="0.45">
      <c r="A401" s="1">
        <v>44348</v>
      </c>
      <c r="B401">
        <v>2021</v>
      </c>
      <c r="C401">
        <v>9</v>
      </c>
      <c r="D401" t="s">
        <v>17</v>
      </c>
      <c r="E401" s="2">
        <v>7300000</v>
      </c>
      <c r="F401" s="2">
        <v>618327.03</v>
      </c>
      <c r="G401" s="2">
        <v>319949.92</v>
      </c>
      <c r="H401" s="2">
        <v>294233.8</v>
      </c>
      <c r="I401" s="2">
        <v>16925.88</v>
      </c>
      <c r="J401">
        <v>43</v>
      </c>
      <c r="K401">
        <v>1</v>
      </c>
      <c r="L401">
        <v>77</v>
      </c>
      <c r="M401">
        <v>2</v>
      </c>
      <c r="N401">
        <v>16</v>
      </c>
      <c r="O401" s="2">
        <v>53207.97</v>
      </c>
      <c r="P401" s="2">
        <v>103.95</v>
      </c>
      <c r="Q401" s="2">
        <v>101.73</v>
      </c>
    </row>
    <row r="402" spans="1:17" x14ac:dyDescent="0.45">
      <c r="A402" s="1">
        <v>45352</v>
      </c>
      <c r="B402">
        <v>2024</v>
      </c>
      <c r="C402">
        <v>6</v>
      </c>
      <c r="D402" t="s">
        <v>23</v>
      </c>
      <c r="E402" s="2">
        <v>21066000</v>
      </c>
      <c r="F402" s="2">
        <v>1838715.06</v>
      </c>
      <c r="G402" s="2">
        <v>798136.96</v>
      </c>
      <c r="H402" s="2">
        <v>963598.31</v>
      </c>
      <c r="I402" s="2">
        <v>115490.07</v>
      </c>
      <c r="J402">
        <v>95</v>
      </c>
      <c r="K402">
        <v>8</v>
      </c>
      <c r="L402">
        <v>418</v>
      </c>
      <c r="M402">
        <v>8</v>
      </c>
      <c r="N402">
        <v>28</v>
      </c>
      <c r="O402" s="2">
        <v>465134.76</v>
      </c>
      <c r="P402" s="2">
        <v>102.01</v>
      </c>
      <c r="Q402" s="2">
        <v>112.17</v>
      </c>
    </row>
    <row r="403" spans="1:17" x14ac:dyDescent="0.45">
      <c r="A403" s="1">
        <v>44378</v>
      </c>
      <c r="B403">
        <v>2021</v>
      </c>
      <c r="C403">
        <v>10</v>
      </c>
      <c r="D403" t="s">
        <v>19</v>
      </c>
      <c r="E403" s="2">
        <v>4800000</v>
      </c>
      <c r="F403" s="2">
        <v>370790.96</v>
      </c>
      <c r="G403" s="2">
        <v>307247.56</v>
      </c>
      <c r="H403" s="2">
        <v>57225.2</v>
      </c>
      <c r="I403" s="2">
        <v>4433.95</v>
      </c>
      <c r="J403">
        <v>35</v>
      </c>
      <c r="K403">
        <v>0</v>
      </c>
      <c r="L403">
        <v>40</v>
      </c>
      <c r="M403">
        <v>2</v>
      </c>
      <c r="N403">
        <v>10</v>
      </c>
      <c r="O403" s="2">
        <v>27592.42</v>
      </c>
      <c r="P403" s="2">
        <v>106.32</v>
      </c>
      <c r="Q403" s="2">
        <v>102.23</v>
      </c>
    </row>
    <row r="404" spans="1:17" x14ac:dyDescent="0.45">
      <c r="A404" s="1">
        <v>44470</v>
      </c>
      <c r="B404">
        <v>2022</v>
      </c>
      <c r="C404">
        <v>1</v>
      </c>
      <c r="D404" t="s">
        <v>25</v>
      </c>
      <c r="E404" s="2">
        <v>4347000</v>
      </c>
      <c r="F404" s="2">
        <v>368901.32</v>
      </c>
      <c r="G404" s="2">
        <v>289661.63</v>
      </c>
      <c r="H404" s="2">
        <v>68309.259999999995</v>
      </c>
      <c r="I404" s="2">
        <v>9932.57</v>
      </c>
      <c r="J404">
        <v>32</v>
      </c>
      <c r="K404">
        <v>0</v>
      </c>
      <c r="L404">
        <v>32</v>
      </c>
      <c r="M404">
        <v>4</v>
      </c>
      <c r="N404">
        <v>20</v>
      </c>
      <c r="O404" s="2">
        <v>33335.370000000003</v>
      </c>
      <c r="P404" s="2">
        <v>112.15</v>
      </c>
      <c r="Q404" s="2">
        <v>102.77</v>
      </c>
    </row>
    <row r="405" spans="1:17" x14ac:dyDescent="0.45">
      <c r="A405" s="1">
        <v>45323</v>
      </c>
      <c r="B405">
        <v>2024</v>
      </c>
      <c r="C405">
        <v>5</v>
      </c>
      <c r="D405" t="s">
        <v>21</v>
      </c>
      <c r="E405" s="2">
        <v>8870000</v>
      </c>
      <c r="F405" s="2">
        <v>723010.1</v>
      </c>
      <c r="G405" s="2">
        <v>469949.61</v>
      </c>
      <c r="H405" s="2">
        <v>231992.67</v>
      </c>
      <c r="I405" s="2">
        <v>33510.25</v>
      </c>
      <c r="J405">
        <v>67</v>
      </c>
      <c r="K405">
        <v>8</v>
      </c>
      <c r="L405">
        <v>64</v>
      </c>
      <c r="M405">
        <v>1</v>
      </c>
      <c r="N405">
        <v>11</v>
      </c>
      <c r="O405" s="2">
        <v>25742.89</v>
      </c>
      <c r="P405" s="2">
        <v>101.25</v>
      </c>
      <c r="Q405" s="2">
        <v>111.72</v>
      </c>
    </row>
    <row r="406" spans="1:17" x14ac:dyDescent="0.45">
      <c r="A406" s="1">
        <v>45566</v>
      </c>
      <c r="B406">
        <v>2025</v>
      </c>
      <c r="C406">
        <v>1</v>
      </c>
      <c r="D406" t="s">
        <v>17</v>
      </c>
      <c r="E406" s="2">
        <v>8377000</v>
      </c>
      <c r="F406" s="2">
        <v>722097.41</v>
      </c>
      <c r="G406" s="2">
        <v>389134.81</v>
      </c>
      <c r="H406" s="2">
        <v>297320.71999999997</v>
      </c>
      <c r="I406" s="2">
        <v>17538.95</v>
      </c>
      <c r="J406">
        <v>45</v>
      </c>
      <c r="K406">
        <v>3</v>
      </c>
      <c r="L406">
        <v>59</v>
      </c>
      <c r="M406">
        <v>1</v>
      </c>
      <c r="N406">
        <v>12</v>
      </c>
      <c r="O406" s="2">
        <v>24245.01</v>
      </c>
      <c r="P406" s="2">
        <v>103.2</v>
      </c>
      <c r="Q406" s="2">
        <v>114.21</v>
      </c>
    </row>
    <row r="407" spans="1:17" x14ac:dyDescent="0.45">
      <c r="A407" s="1">
        <v>44378</v>
      </c>
      <c r="B407">
        <v>2021</v>
      </c>
      <c r="C407">
        <v>10</v>
      </c>
      <c r="D407" t="s">
        <v>18</v>
      </c>
      <c r="E407" s="2">
        <v>3500000</v>
      </c>
      <c r="F407" s="2">
        <v>307646.77</v>
      </c>
      <c r="G407" s="2">
        <v>264102.53999999998</v>
      </c>
      <c r="H407" s="2">
        <v>38113.760000000002</v>
      </c>
      <c r="I407" s="2">
        <v>5586.98</v>
      </c>
      <c r="J407">
        <v>27</v>
      </c>
      <c r="K407">
        <v>5</v>
      </c>
      <c r="L407">
        <v>50</v>
      </c>
      <c r="M407">
        <v>1</v>
      </c>
      <c r="N407">
        <v>9</v>
      </c>
      <c r="O407" s="2">
        <v>10744.69</v>
      </c>
      <c r="P407" s="2">
        <v>109.49</v>
      </c>
      <c r="Q407" s="2">
        <v>100.89</v>
      </c>
    </row>
    <row r="408" spans="1:17" x14ac:dyDescent="0.45">
      <c r="A408" s="1">
        <v>45748</v>
      </c>
      <c r="B408">
        <v>2025</v>
      </c>
      <c r="C408">
        <v>7</v>
      </c>
      <c r="D408" t="s">
        <v>19</v>
      </c>
      <c r="E408" s="2">
        <v>5508000</v>
      </c>
      <c r="F408" s="2">
        <v>486046.29</v>
      </c>
      <c r="G408" s="2">
        <v>406326.23</v>
      </c>
      <c r="H408" s="2">
        <v>67779.45</v>
      </c>
      <c r="I408" s="2">
        <v>11556.17</v>
      </c>
      <c r="J408">
        <v>38</v>
      </c>
      <c r="K408">
        <v>4</v>
      </c>
      <c r="L408">
        <v>24</v>
      </c>
      <c r="M408">
        <v>3</v>
      </c>
      <c r="N408">
        <v>11</v>
      </c>
      <c r="O408" s="2">
        <v>32522.01</v>
      </c>
      <c r="P408" s="2">
        <v>108.96</v>
      </c>
      <c r="Q408" s="2">
        <v>115.86</v>
      </c>
    </row>
    <row r="409" spans="1:17" x14ac:dyDescent="0.45">
      <c r="A409" s="1">
        <v>44256</v>
      </c>
      <c r="B409">
        <v>2021</v>
      </c>
      <c r="C409">
        <v>6</v>
      </c>
      <c r="D409" t="s">
        <v>28</v>
      </c>
      <c r="E409" s="2">
        <v>22000000</v>
      </c>
      <c r="F409" s="2">
        <v>1743918.57</v>
      </c>
      <c r="G409" s="2">
        <v>1393732.7</v>
      </c>
      <c r="H409" s="2">
        <v>368901.7</v>
      </c>
      <c r="I409" s="2">
        <v>31488.07</v>
      </c>
      <c r="J409">
        <v>173</v>
      </c>
      <c r="K409">
        <v>10</v>
      </c>
      <c r="L409">
        <v>593</v>
      </c>
      <c r="M409">
        <v>8</v>
      </c>
      <c r="N409">
        <v>32</v>
      </c>
      <c r="O409" s="2">
        <v>306876.2</v>
      </c>
      <c r="P409" s="2">
        <v>103.15</v>
      </c>
      <c r="Q409" s="2">
        <v>99.54</v>
      </c>
    </row>
    <row r="410" spans="1:17" x14ac:dyDescent="0.45">
      <c r="A410" s="1">
        <v>45809</v>
      </c>
      <c r="B410">
        <v>2025</v>
      </c>
      <c r="C410">
        <v>9</v>
      </c>
      <c r="D410" t="s">
        <v>18</v>
      </c>
      <c r="E410" s="2">
        <v>4016000</v>
      </c>
      <c r="F410" s="2">
        <v>353029.43</v>
      </c>
      <c r="G410" s="2">
        <v>300297.57</v>
      </c>
      <c r="H410" s="2">
        <v>48329.73</v>
      </c>
      <c r="I410" s="2">
        <v>1898.12</v>
      </c>
      <c r="J410">
        <v>29</v>
      </c>
      <c r="K410">
        <v>6</v>
      </c>
      <c r="L410">
        <v>9</v>
      </c>
      <c r="M410">
        <v>2</v>
      </c>
      <c r="N410">
        <v>6</v>
      </c>
      <c r="O410" s="2">
        <v>22570.42</v>
      </c>
      <c r="P410" s="2">
        <v>113</v>
      </c>
      <c r="Q410" s="2">
        <v>116.53</v>
      </c>
    </row>
    <row r="411" spans="1:17" x14ac:dyDescent="0.45">
      <c r="A411" s="1">
        <v>45170</v>
      </c>
      <c r="B411">
        <v>2023</v>
      </c>
      <c r="C411">
        <v>12</v>
      </c>
      <c r="D411" t="s">
        <v>28</v>
      </c>
      <c r="E411" s="2">
        <v>23567000</v>
      </c>
      <c r="F411" s="2">
        <v>2116664.2599999998</v>
      </c>
      <c r="G411" s="2">
        <v>1692086.91</v>
      </c>
      <c r="H411" s="2">
        <v>412288.18</v>
      </c>
      <c r="I411" s="2">
        <v>50383.85</v>
      </c>
      <c r="J411">
        <v>181</v>
      </c>
      <c r="K411">
        <v>12</v>
      </c>
      <c r="L411">
        <v>810</v>
      </c>
      <c r="M411">
        <v>5</v>
      </c>
      <c r="N411">
        <v>31</v>
      </c>
      <c r="O411" s="2">
        <v>281657.13</v>
      </c>
      <c r="P411" s="2">
        <v>105.85</v>
      </c>
      <c r="Q411" s="2">
        <v>110.54</v>
      </c>
    </row>
    <row r="412" spans="1:17" x14ac:dyDescent="0.45">
      <c r="A412" s="1">
        <v>45444</v>
      </c>
      <c r="B412">
        <v>2024</v>
      </c>
      <c r="C412">
        <v>9</v>
      </c>
      <c r="D412" t="s">
        <v>21</v>
      </c>
      <c r="E412" s="2">
        <v>8870000</v>
      </c>
      <c r="F412" s="2">
        <v>771691.98</v>
      </c>
      <c r="G412" s="2">
        <v>485037.41</v>
      </c>
      <c r="H412" s="2">
        <v>270430</v>
      </c>
      <c r="I412" s="2">
        <v>22965.119999999999</v>
      </c>
      <c r="J412">
        <v>67</v>
      </c>
      <c r="K412">
        <v>10</v>
      </c>
      <c r="L412">
        <v>114</v>
      </c>
      <c r="M412">
        <v>1</v>
      </c>
      <c r="N412">
        <v>9</v>
      </c>
      <c r="O412" s="2">
        <v>33273.69</v>
      </c>
      <c r="P412" s="2">
        <v>102.75</v>
      </c>
      <c r="Q412" s="2">
        <v>112.91</v>
      </c>
    </row>
    <row r="413" spans="1:17" x14ac:dyDescent="0.45">
      <c r="A413" s="1">
        <v>44682</v>
      </c>
      <c r="B413">
        <v>2022</v>
      </c>
      <c r="C413">
        <v>8</v>
      </c>
      <c r="D413" t="s">
        <v>21</v>
      </c>
      <c r="E413" s="2">
        <v>8280000</v>
      </c>
      <c r="F413" s="2">
        <v>697847.8</v>
      </c>
      <c r="G413" s="2">
        <v>431264.66</v>
      </c>
      <c r="H413" s="2">
        <v>209758.03</v>
      </c>
      <c r="I413" s="2">
        <v>78377.55</v>
      </c>
      <c r="J413">
        <v>64</v>
      </c>
      <c r="K413">
        <v>9</v>
      </c>
      <c r="L413">
        <v>137</v>
      </c>
      <c r="M413">
        <v>0</v>
      </c>
      <c r="N413">
        <v>8</v>
      </c>
      <c r="O413" s="2">
        <v>9884.9699999999993</v>
      </c>
      <c r="P413" s="2">
        <v>109.79</v>
      </c>
      <c r="Q413" s="2">
        <v>104.01</v>
      </c>
    </row>
    <row r="414" spans="1:17" x14ac:dyDescent="0.45">
      <c r="A414" s="1">
        <v>45536</v>
      </c>
      <c r="B414">
        <v>2024</v>
      </c>
      <c r="C414">
        <v>12</v>
      </c>
      <c r="D414" t="s">
        <v>23</v>
      </c>
      <c r="E414" s="2">
        <v>21066000</v>
      </c>
      <c r="F414" s="2">
        <v>2044246.16</v>
      </c>
      <c r="G414" s="2">
        <v>790271.85</v>
      </c>
      <c r="H414" s="2">
        <v>943747.76</v>
      </c>
      <c r="I414" s="2">
        <v>322843.01</v>
      </c>
      <c r="J414">
        <v>97</v>
      </c>
      <c r="K414">
        <v>3</v>
      </c>
      <c r="L414">
        <v>422</v>
      </c>
      <c r="M414">
        <v>7</v>
      </c>
      <c r="N414">
        <v>31</v>
      </c>
      <c r="O414" s="2">
        <v>473495.01</v>
      </c>
      <c r="P414" s="2">
        <v>106.73</v>
      </c>
      <c r="Q414" s="2">
        <v>114.67</v>
      </c>
    </row>
    <row r="415" spans="1:17" x14ac:dyDescent="0.45">
      <c r="A415" s="1">
        <v>45901</v>
      </c>
      <c r="B415">
        <v>2025</v>
      </c>
      <c r="C415">
        <v>12</v>
      </c>
      <c r="D415" t="s">
        <v>25</v>
      </c>
      <c r="E415" s="2">
        <v>4820000</v>
      </c>
      <c r="F415" s="2">
        <v>394225</v>
      </c>
      <c r="G415" s="2">
        <v>323739.52000000002</v>
      </c>
      <c r="H415" s="2">
        <v>67377.320000000007</v>
      </c>
      <c r="I415" s="2">
        <v>2805.71</v>
      </c>
      <c r="J415">
        <v>33</v>
      </c>
      <c r="K415">
        <v>4</v>
      </c>
      <c r="L415">
        <v>48</v>
      </c>
      <c r="M415">
        <v>3</v>
      </c>
      <c r="N415">
        <v>19</v>
      </c>
      <c r="O415" s="2">
        <v>43193.120000000003</v>
      </c>
      <c r="P415" s="2">
        <v>120.13</v>
      </c>
      <c r="Q415" s="2">
        <v>117.62</v>
      </c>
    </row>
    <row r="416" spans="1:17" x14ac:dyDescent="0.45">
      <c r="A416" s="1">
        <v>44682</v>
      </c>
      <c r="B416">
        <v>2022</v>
      </c>
      <c r="C416">
        <v>8</v>
      </c>
      <c r="D416" t="s">
        <v>23</v>
      </c>
      <c r="E416" s="2">
        <v>19665000</v>
      </c>
      <c r="F416" s="2">
        <v>1358140.69</v>
      </c>
      <c r="G416" s="2">
        <v>679483.29</v>
      </c>
      <c r="H416" s="2">
        <v>625913.16</v>
      </c>
      <c r="I416" s="2">
        <v>105087.32</v>
      </c>
      <c r="J416">
        <v>89</v>
      </c>
      <c r="K416">
        <v>6</v>
      </c>
      <c r="L416">
        <v>296</v>
      </c>
      <c r="M416">
        <v>7</v>
      </c>
      <c r="N416">
        <v>31</v>
      </c>
      <c r="O416" s="2">
        <v>260611.91</v>
      </c>
      <c r="P416" s="2">
        <v>109.19</v>
      </c>
      <c r="Q416" s="2">
        <v>104.87</v>
      </c>
    </row>
    <row r="417" spans="1:17" x14ac:dyDescent="0.45">
      <c r="A417" s="1">
        <v>45200</v>
      </c>
      <c r="B417">
        <v>2024</v>
      </c>
      <c r="C417">
        <v>1</v>
      </c>
      <c r="D417" t="s">
        <v>25</v>
      </c>
      <c r="E417" s="2">
        <v>4657000</v>
      </c>
      <c r="F417" s="2">
        <v>459648.64</v>
      </c>
      <c r="G417" s="2">
        <v>347083.21</v>
      </c>
      <c r="H417" s="2">
        <v>65208.11</v>
      </c>
      <c r="I417" s="2">
        <v>43960.27</v>
      </c>
      <c r="J417">
        <v>34</v>
      </c>
      <c r="K417">
        <v>4</v>
      </c>
      <c r="L417">
        <v>13</v>
      </c>
      <c r="M417">
        <v>0</v>
      </c>
      <c r="N417">
        <v>7</v>
      </c>
      <c r="O417" s="2">
        <v>5023.21</v>
      </c>
      <c r="P417" s="2">
        <v>104.78</v>
      </c>
      <c r="Q417" s="2">
        <v>110.55</v>
      </c>
    </row>
    <row r="418" spans="1:17" x14ac:dyDescent="0.45">
      <c r="A418" s="1">
        <v>45658</v>
      </c>
      <c r="B418">
        <v>2025</v>
      </c>
      <c r="C418">
        <v>4</v>
      </c>
      <c r="D418" t="s">
        <v>16</v>
      </c>
      <c r="E418" s="2">
        <v>7115000</v>
      </c>
      <c r="F418" s="2">
        <v>558412.89</v>
      </c>
      <c r="G418" s="2">
        <v>302784.67</v>
      </c>
      <c r="H418" s="2">
        <v>229178.63</v>
      </c>
      <c r="I418" s="2">
        <v>36382.69</v>
      </c>
      <c r="J418">
        <v>33</v>
      </c>
      <c r="K418">
        <v>1</v>
      </c>
      <c r="L418">
        <v>47</v>
      </c>
      <c r="M418">
        <v>4</v>
      </c>
      <c r="N418">
        <v>16</v>
      </c>
      <c r="O418" s="2">
        <v>59083.040000000001</v>
      </c>
      <c r="P418" s="2">
        <v>107.29</v>
      </c>
      <c r="Q418" s="2">
        <v>115.1</v>
      </c>
    </row>
    <row r="419" spans="1:17" x14ac:dyDescent="0.45">
      <c r="A419" s="1">
        <v>44501</v>
      </c>
      <c r="B419">
        <v>2022</v>
      </c>
      <c r="C419">
        <v>2</v>
      </c>
      <c r="D419" t="s">
        <v>18</v>
      </c>
      <c r="E419" s="2">
        <v>3622000</v>
      </c>
      <c r="F419" s="2">
        <v>321237.06</v>
      </c>
      <c r="G419" s="2">
        <v>269341.84999999998</v>
      </c>
      <c r="H419" s="2">
        <v>46876.33</v>
      </c>
      <c r="I419" s="2">
        <v>7102.37</v>
      </c>
      <c r="J419">
        <v>29</v>
      </c>
      <c r="K419">
        <v>1</v>
      </c>
      <c r="L419">
        <v>0</v>
      </c>
      <c r="M419">
        <v>2</v>
      </c>
      <c r="N419">
        <v>13</v>
      </c>
      <c r="O419" s="2">
        <v>20117.34</v>
      </c>
      <c r="P419" s="2">
        <v>110.23</v>
      </c>
      <c r="Q419" s="2">
        <v>103.22</v>
      </c>
    </row>
    <row r="420" spans="1:17" x14ac:dyDescent="0.45">
      <c r="A420" s="1">
        <v>45809</v>
      </c>
      <c r="B420">
        <v>2025</v>
      </c>
      <c r="C420">
        <v>9</v>
      </c>
      <c r="D420" t="s">
        <v>17</v>
      </c>
      <c r="E420" s="2">
        <v>8377000</v>
      </c>
      <c r="F420" s="2">
        <v>726291.87</v>
      </c>
      <c r="G420" s="2">
        <v>403402.1</v>
      </c>
      <c r="H420" s="2">
        <v>294053.71000000002</v>
      </c>
      <c r="I420" s="2">
        <v>21236.81</v>
      </c>
      <c r="J420">
        <v>47</v>
      </c>
      <c r="K420">
        <v>4</v>
      </c>
      <c r="L420">
        <v>78</v>
      </c>
      <c r="M420">
        <v>4</v>
      </c>
      <c r="N420">
        <v>15</v>
      </c>
      <c r="O420" s="2">
        <v>84878.27</v>
      </c>
      <c r="P420" s="2">
        <v>110.73</v>
      </c>
      <c r="Q420" s="2">
        <v>116.72</v>
      </c>
    </row>
    <row r="421" spans="1:17" x14ac:dyDescent="0.45">
      <c r="A421" s="1">
        <v>44621</v>
      </c>
      <c r="B421">
        <v>2022</v>
      </c>
      <c r="C421">
        <v>6</v>
      </c>
      <c r="D421" t="s">
        <v>23</v>
      </c>
      <c r="E421" s="2">
        <v>19665000</v>
      </c>
      <c r="F421" s="2">
        <v>2003584.36</v>
      </c>
      <c r="G421" s="2">
        <v>801523.94</v>
      </c>
      <c r="H421" s="2">
        <v>892785.35</v>
      </c>
      <c r="I421" s="2">
        <v>304406.90000000002</v>
      </c>
      <c r="J421">
        <v>99</v>
      </c>
      <c r="K421">
        <v>8</v>
      </c>
      <c r="L421">
        <v>349</v>
      </c>
      <c r="M421">
        <v>3</v>
      </c>
      <c r="N421">
        <v>27</v>
      </c>
      <c r="O421" s="2">
        <v>189039.7</v>
      </c>
      <c r="P421" s="2">
        <v>112.11</v>
      </c>
      <c r="Q421" s="2">
        <v>104.88</v>
      </c>
    </row>
    <row r="422" spans="1:17" x14ac:dyDescent="0.45">
      <c r="A422" s="1">
        <v>45748</v>
      </c>
      <c r="B422">
        <v>2025</v>
      </c>
      <c r="C422">
        <v>7</v>
      </c>
      <c r="D422" t="s">
        <v>25</v>
      </c>
      <c r="E422" s="2">
        <v>4820000</v>
      </c>
      <c r="F422" s="2">
        <v>391745.81</v>
      </c>
      <c r="G422" s="2">
        <v>316893.98</v>
      </c>
      <c r="H422" s="2">
        <v>66589.350000000006</v>
      </c>
      <c r="I422" s="2">
        <v>6353.38</v>
      </c>
      <c r="J422">
        <v>32</v>
      </c>
      <c r="K422">
        <v>0</v>
      </c>
      <c r="L422">
        <v>34</v>
      </c>
      <c r="M422">
        <v>3</v>
      </c>
      <c r="N422">
        <v>15</v>
      </c>
      <c r="O422" s="2">
        <v>47765.05</v>
      </c>
      <c r="P422" s="2">
        <v>111.2</v>
      </c>
      <c r="Q422" s="2">
        <v>117</v>
      </c>
    </row>
    <row r="423" spans="1:17" x14ac:dyDescent="0.45">
      <c r="A423" s="1">
        <v>45444</v>
      </c>
      <c r="B423">
        <v>2024</v>
      </c>
      <c r="C423">
        <v>9</v>
      </c>
      <c r="D423" t="s">
        <v>22</v>
      </c>
      <c r="E423" s="2">
        <v>6874000</v>
      </c>
      <c r="F423" s="2">
        <v>508623.75</v>
      </c>
      <c r="G423" s="2">
        <v>274434.63</v>
      </c>
      <c r="H423" s="2">
        <v>223343.38</v>
      </c>
      <c r="I423" s="2">
        <v>18130.64</v>
      </c>
      <c r="J423">
        <v>30</v>
      </c>
      <c r="K423">
        <v>2</v>
      </c>
      <c r="L423">
        <v>36</v>
      </c>
      <c r="M423">
        <v>3</v>
      </c>
      <c r="N423">
        <v>17</v>
      </c>
      <c r="O423" s="2">
        <v>39524.36</v>
      </c>
      <c r="P423" s="2">
        <v>101.95</v>
      </c>
      <c r="Q423" s="2">
        <v>112.02</v>
      </c>
    </row>
    <row r="424" spans="1:17" x14ac:dyDescent="0.45">
      <c r="A424" s="1">
        <v>45078</v>
      </c>
      <c r="B424">
        <v>2023</v>
      </c>
      <c r="C424">
        <v>9</v>
      </c>
      <c r="D424" t="s">
        <v>24</v>
      </c>
      <c r="E424" s="2">
        <v>14462000</v>
      </c>
      <c r="F424" s="2">
        <v>1177673.02</v>
      </c>
      <c r="G424" s="2">
        <v>561163.47</v>
      </c>
      <c r="H424" s="2">
        <v>526131.02</v>
      </c>
      <c r="I424" s="2">
        <v>62934.29</v>
      </c>
      <c r="J424">
        <v>80</v>
      </c>
      <c r="K424">
        <v>9</v>
      </c>
      <c r="L424">
        <v>91</v>
      </c>
      <c r="M424">
        <v>4</v>
      </c>
      <c r="N424">
        <v>19</v>
      </c>
      <c r="O424" s="2">
        <v>131794.65</v>
      </c>
      <c r="P424" s="2">
        <v>104.96</v>
      </c>
      <c r="Q424" s="2">
        <v>108.56</v>
      </c>
    </row>
    <row r="425" spans="1:17" x14ac:dyDescent="0.45">
      <c r="A425" s="1">
        <v>44805</v>
      </c>
      <c r="B425">
        <v>2022</v>
      </c>
      <c r="C425">
        <v>12</v>
      </c>
      <c r="D425" t="s">
        <v>17</v>
      </c>
      <c r="E425" s="2">
        <v>7555000</v>
      </c>
      <c r="F425" s="2">
        <v>620278.96</v>
      </c>
      <c r="G425" s="2">
        <v>329830.78999999998</v>
      </c>
      <c r="H425" s="2">
        <v>247588.46</v>
      </c>
      <c r="I425" s="2">
        <v>33188.67</v>
      </c>
      <c r="J425">
        <v>44</v>
      </c>
      <c r="K425">
        <v>6</v>
      </c>
      <c r="L425">
        <v>63</v>
      </c>
      <c r="M425">
        <v>0</v>
      </c>
      <c r="N425">
        <v>15</v>
      </c>
      <c r="O425" s="2">
        <v>21400.48</v>
      </c>
      <c r="P425" s="2">
        <v>109.89</v>
      </c>
      <c r="Q425" s="2">
        <v>106.15</v>
      </c>
    </row>
    <row r="426" spans="1:17" x14ac:dyDescent="0.45">
      <c r="A426" s="1">
        <v>45108</v>
      </c>
      <c r="B426">
        <v>2023</v>
      </c>
      <c r="C426">
        <v>10</v>
      </c>
      <c r="D426" t="s">
        <v>19</v>
      </c>
      <c r="E426" s="2">
        <v>5142000</v>
      </c>
      <c r="F426" s="2">
        <v>420775.65</v>
      </c>
      <c r="G426" s="2">
        <v>352023.56</v>
      </c>
      <c r="H426" s="2">
        <v>62010.93</v>
      </c>
      <c r="I426" s="2">
        <v>5935.46</v>
      </c>
      <c r="J426">
        <v>35</v>
      </c>
      <c r="K426">
        <v>4</v>
      </c>
      <c r="L426">
        <v>36</v>
      </c>
      <c r="M426">
        <v>3</v>
      </c>
      <c r="N426">
        <v>14</v>
      </c>
      <c r="O426" s="2">
        <v>35493.410000000003</v>
      </c>
      <c r="P426" s="2">
        <v>101.04</v>
      </c>
      <c r="Q426" s="2">
        <v>108.8</v>
      </c>
    </row>
    <row r="427" spans="1:17" x14ac:dyDescent="0.45">
      <c r="A427" s="1">
        <v>44562</v>
      </c>
      <c r="B427">
        <v>2022</v>
      </c>
      <c r="C427">
        <v>4</v>
      </c>
      <c r="D427" t="s">
        <v>23</v>
      </c>
      <c r="E427" s="2">
        <v>19665000</v>
      </c>
      <c r="F427" s="2">
        <v>1593146.56</v>
      </c>
      <c r="G427" s="2">
        <v>760858.89</v>
      </c>
      <c r="H427" s="2">
        <v>724609.16</v>
      </c>
      <c r="I427" s="2">
        <v>133649.41</v>
      </c>
      <c r="J427">
        <v>97</v>
      </c>
      <c r="K427">
        <v>1</v>
      </c>
      <c r="L427">
        <v>315</v>
      </c>
      <c r="M427">
        <v>7</v>
      </c>
      <c r="N427">
        <v>32</v>
      </c>
      <c r="O427" s="2">
        <v>307097.5</v>
      </c>
      <c r="P427" s="2">
        <v>113.6</v>
      </c>
      <c r="Q427" s="2">
        <v>103.66</v>
      </c>
    </row>
    <row r="428" spans="1:17" x14ac:dyDescent="0.45">
      <c r="A428" s="1">
        <v>44986</v>
      </c>
      <c r="B428">
        <v>2023</v>
      </c>
      <c r="C428">
        <v>6</v>
      </c>
      <c r="D428" t="s">
        <v>24</v>
      </c>
      <c r="E428" s="2">
        <v>14462000</v>
      </c>
      <c r="F428" s="2">
        <v>1345811.77</v>
      </c>
      <c r="G428" s="2">
        <v>589790.84</v>
      </c>
      <c r="H428" s="2">
        <v>433571.48</v>
      </c>
      <c r="I428" s="2">
        <v>319599.12</v>
      </c>
      <c r="J428">
        <v>80</v>
      </c>
      <c r="K428">
        <v>8</v>
      </c>
      <c r="L428">
        <v>80</v>
      </c>
      <c r="M428">
        <v>4</v>
      </c>
      <c r="N428">
        <v>19</v>
      </c>
      <c r="O428" s="2">
        <v>137649.60000000001</v>
      </c>
      <c r="P428" s="2">
        <v>109.54</v>
      </c>
      <c r="Q428" s="2">
        <v>107.42</v>
      </c>
    </row>
    <row r="429" spans="1:17" x14ac:dyDescent="0.45">
      <c r="A429" s="1">
        <v>45992</v>
      </c>
      <c r="B429">
        <v>2026</v>
      </c>
      <c r="C429">
        <v>3</v>
      </c>
      <c r="D429" t="s">
        <v>28</v>
      </c>
      <c r="E429" s="2">
        <v>26129000</v>
      </c>
      <c r="F429" s="2">
        <v>2559330.75</v>
      </c>
      <c r="G429" s="2">
        <v>1895803.82</v>
      </c>
      <c r="H429" s="2">
        <v>584022.5</v>
      </c>
      <c r="I429" s="2">
        <v>26160.78</v>
      </c>
      <c r="J429">
        <v>187</v>
      </c>
      <c r="K429">
        <v>12</v>
      </c>
      <c r="L429">
        <v>848</v>
      </c>
      <c r="M429">
        <v>6</v>
      </c>
      <c r="N429">
        <v>25</v>
      </c>
      <c r="O429" s="2"/>
      <c r="P429" s="2">
        <v>122.31</v>
      </c>
      <c r="Q429" s="2">
        <v>118.49</v>
      </c>
    </row>
    <row r="430" spans="1:17" x14ac:dyDescent="0.45">
      <c r="A430" s="1">
        <v>44866</v>
      </c>
      <c r="B430">
        <v>2023</v>
      </c>
      <c r="C430">
        <v>2</v>
      </c>
      <c r="D430" t="s">
        <v>23</v>
      </c>
      <c r="E430" s="2">
        <v>20353000</v>
      </c>
      <c r="F430" s="2">
        <v>1743932.19</v>
      </c>
      <c r="G430" s="2">
        <v>787502.02</v>
      </c>
      <c r="H430" s="2">
        <v>860396.53</v>
      </c>
      <c r="I430" s="2">
        <v>106439.13</v>
      </c>
      <c r="J430">
        <v>95</v>
      </c>
      <c r="K430">
        <v>12</v>
      </c>
      <c r="L430">
        <v>494</v>
      </c>
      <c r="M430">
        <v>6</v>
      </c>
      <c r="N430">
        <v>22</v>
      </c>
      <c r="O430" s="2">
        <v>313521.57</v>
      </c>
      <c r="P430" s="2">
        <v>107.79</v>
      </c>
      <c r="Q430" s="2">
        <v>106.67</v>
      </c>
    </row>
    <row r="431" spans="1:17" x14ac:dyDescent="0.45">
      <c r="A431" s="1">
        <v>45901</v>
      </c>
      <c r="B431">
        <v>2025</v>
      </c>
      <c r="C431">
        <v>12</v>
      </c>
      <c r="D431" t="s">
        <v>28</v>
      </c>
      <c r="E431" s="2">
        <v>25246000</v>
      </c>
      <c r="F431" s="2">
        <v>2271174.65</v>
      </c>
      <c r="G431" s="2">
        <v>1788446.52</v>
      </c>
      <c r="H431" s="2">
        <v>450017.06</v>
      </c>
      <c r="I431" s="2">
        <v>51609.78</v>
      </c>
      <c r="J431">
        <v>183</v>
      </c>
      <c r="K431">
        <v>13</v>
      </c>
      <c r="L431">
        <v>759</v>
      </c>
      <c r="M431">
        <v>6</v>
      </c>
      <c r="N431">
        <v>27</v>
      </c>
      <c r="O431" s="2">
        <v>366885.95</v>
      </c>
      <c r="P431" s="2">
        <v>118.59</v>
      </c>
      <c r="Q431" s="2">
        <v>117.6</v>
      </c>
    </row>
    <row r="432" spans="1:17" x14ac:dyDescent="0.45">
      <c r="A432" s="1">
        <v>45323</v>
      </c>
      <c r="B432">
        <v>2024</v>
      </c>
      <c r="C432">
        <v>5</v>
      </c>
      <c r="D432" t="s">
        <v>17</v>
      </c>
      <c r="E432" s="2">
        <v>8094000</v>
      </c>
      <c r="F432" s="2">
        <v>658016.56999999995</v>
      </c>
      <c r="G432" s="2">
        <v>363197.65</v>
      </c>
      <c r="H432" s="2">
        <v>262214.51</v>
      </c>
      <c r="I432" s="2">
        <v>27085.97</v>
      </c>
      <c r="J432">
        <v>46</v>
      </c>
      <c r="K432">
        <v>1</v>
      </c>
      <c r="L432">
        <v>20</v>
      </c>
      <c r="M432">
        <v>2</v>
      </c>
      <c r="N432">
        <v>18</v>
      </c>
      <c r="O432" s="2">
        <v>44166.45</v>
      </c>
      <c r="P432" s="2">
        <v>100.14</v>
      </c>
      <c r="Q432" s="2">
        <v>111.75</v>
      </c>
    </row>
    <row r="433" spans="1:17" x14ac:dyDescent="0.45">
      <c r="A433" s="1">
        <v>45231</v>
      </c>
      <c r="B433">
        <v>2024</v>
      </c>
      <c r="C433">
        <v>2</v>
      </c>
      <c r="D433" t="s">
        <v>19</v>
      </c>
      <c r="E433" s="2">
        <v>5322000</v>
      </c>
      <c r="F433" s="2">
        <v>445730.72</v>
      </c>
      <c r="G433" s="2">
        <v>367551.56</v>
      </c>
      <c r="H433" s="2">
        <v>73191.759999999995</v>
      </c>
      <c r="I433" s="2">
        <v>6084.01</v>
      </c>
      <c r="J433">
        <v>36</v>
      </c>
      <c r="K433">
        <v>0</v>
      </c>
      <c r="L433">
        <v>41</v>
      </c>
      <c r="M433">
        <v>2</v>
      </c>
      <c r="N433">
        <v>9</v>
      </c>
      <c r="O433" s="2">
        <v>18855.52</v>
      </c>
      <c r="P433" s="2">
        <v>98.81</v>
      </c>
      <c r="Q433" s="2">
        <v>109.68</v>
      </c>
    </row>
    <row r="434" spans="1:17" x14ac:dyDescent="0.45">
      <c r="A434" s="1">
        <v>44621</v>
      </c>
      <c r="B434">
        <v>2022</v>
      </c>
      <c r="C434">
        <v>6</v>
      </c>
      <c r="D434" t="s">
        <v>22</v>
      </c>
      <c r="E434" s="2">
        <v>6417000</v>
      </c>
      <c r="F434" s="2">
        <v>453059.88</v>
      </c>
      <c r="G434" s="2">
        <v>260032.74</v>
      </c>
      <c r="H434" s="2">
        <v>198853.24</v>
      </c>
      <c r="I434" s="2">
        <v>11382.55</v>
      </c>
      <c r="J434">
        <v>30</v>
      </c>
      <c r="K434">
        <v>4</v>
      </c>
      <c r="L434">
        <v>32</v>
      </c>
      <c r="M434">
        <v>3</v>
      </c>
      <c r="N434">
        <v>13</v>
      </c>
      <c r="O434" s="2">
        <v>42306.66</v>
      </c>
      <c r="P434" s="2">
        <v>109.9</v>
      </c>
      <c r="Q434" s="2">
        <v>104.35</v>
      </c>
    </row>
    <row r="435" spans="1:17" x14ac:dyDescent="0.45">
      <c r="A435" s="1">
        <v>45627</v>
      </c>
      <c r="B435">
        <v>2025</v>
      </c>
      <c r="C435">
        <v>3</v>
      </c>
      <c r="D435" t="s">
        <v>28</v>
      </c>
      <c r="E435" s="2">
        <v>25246000</v>
      </c>
      <c r="F435" s="2">
        <v>2523359.29</v>
      </c>
      <c r="G435" s="2">
        <v>1803368.58</v>
      </c>
      <c r="H435" s="2">
        <v>539676.98</v>
      </c>
      <c r="I435" s="2">
        <v>26807.26</v>
      </c>
      <c r="J435">
        <v>181</v>
      </c>
      <c r="K435">
        <v>13</v>
      </c>
      <c r="L435">
        <v>907</v>
      </c>
      <c r="M435">
        <v>6</v>
      </c>
      <c r="N435">
        <v>32</v>
      </c>
      <c r="O435" s="2">
        <v>481243.94</v>
      </c>
      <c r="P435" s="2">
        <v>110.1</v>
      </c>
      <c r="Q435" s="2">
        <v>114.16</v>
      </c>
    </row>
    <row r="436" spans="1:17" x14ac:dyDescent="0.45">
      <c r="A436" s="1">
        <v>44593</v>
      </c>
      <c r="B436">
        <v>2022</v>
      </c>
      <c r="C436">
        <v>5</v>
      </c>
      <c r="D436" t="s">
        <v>25</v>
      </c>
      <c r="E436" s="2">
        <v>4347000</v>
      </c>
      <c r="F436" s="2">
        <v>362568.78</v>
      </c>
      <c r="G436" s="2">
        <v>298966.14</v>
      </c>
      <c r="H436" s="2">
        <v>55730.15</v>
      </c>
      <c r="I436" s="2">
        <v>2626.72</v>
      </c>
      <c r="J436">
        <v>33</v>
      </c>
      <c r="K436">
        <v>2</v>
      </c>
      <c r="L436">
        <v>37</v>
      </c>
      <c r="M436">
        <v>0</v>
      </c>
      <c r="N436">
        <v>10</v>
      </c>
      <c r="O436" s="2">
        <v>5928.62</v>
      </c>
      <c r="P436" s="2">
        <v>109.82</v>
      </c>
      <c r="Q436" s="2">
        <v>103.52</v>
      </c>
    </row>
    <row r="437" spans="1:17" x14ac:dyDescent="0.45">
      <c r="A437" s="1">
        <v>44774</v>
      </c>
      <c r="B437">
        <v>2022</v>
      </c>
      <c r="C437">
        <v>11</v>
      </c>
      <c r="D437" t="s">
        <v>17</v>
      </c>
      <c r="E437" s="2">
        <v>7555000</v>
      </c>
      <c r="F437" s="2">
        <v>578663.9</v>
      </c>
      <c r="G437" s="2">
        <v>329880.71999999997</v>
      </c>
      <c r="H437" s="2">
        <v>233736.94</v>
      </c>
      <c r="I437" s="2">
        <v>18751.73</v>
      </c>
      <c r="J437">
        <v>44</v>
      </c>
      <c r="K437">
        <v>1</v>
      </c>
      <c r="L437">
        <v>40</v>
      </c>
      <c r="M437">
        <v>3</v>
      </c>
      <c r="N437">
        <v>14</v>
      </c>
      <c r="O437" s="2">
        <v>72530.31</v>
      </c>
      <c r="P437" s="2">
        <v>108.85</v>
      </c>
      <c r="Q437" s="2">
        <v>106.01</v>
      </c>
    </row>
    <row r="438" spans="1:17" x14ac:dyDescent="0.45">
      <c r="A438" s="1">
        <v>45778</v>
      </c>
      <c r="B438">
        <v>2025</v>
      </c>
      <c r="C438">
        <v>8</v>
      </c>
      <c r="D438" t="s">
        <v>27</v>
      </c>
      <c r="E438" s="2">
        <v>28688000</v>
      </c>
      <c r="F438" s="2">
        <v>2572227.13</v>
      </c>
      <c r="G438" s="2">
        <v>1891654.44</v>
      </c>
      <c r="H438" s="2">
        <v>568602.71</v>
      </c>
      <c r="I438" s="2">
        <v>94394.05</v>
      </c>
      <c r="J438">
        <v>211</v>
      </c>
      <c r="K438">
        <v>15</v>
      </c>
      <c r="L438">
        <v>1009</v>
      </c>
      <c r="M438">
        <v>8</v>
      </c>
      <c r="N438">
        <v>42</v>
      </c>
      <c r="O438" s="2">
        <v>536475.9</v>
      </c>
      <c r="P438" s="2">
        <v>115.41</v>
      </c>
      <c r="Q438" s="2">
        <v>116.38</v>
      </c>
    </row>
    <row r="439" spans="1:17" x14ac:dyDescent="0.45">
      <c r="A439" s="1">
        <v>44866</v>
      </c>
      <c r="B439">
        <v>2023</v>
      </c>
      <c r="C439">
        <v>2</v>
      </c>
      <c r="D439" t="s">
        <v>27</v>
      </c>
      <c r="E439" s="2">
        <v>26781000</v>
      </c>
      <c r="F439" s="2">
        <v>2340611.9700000002</v>
      </c>
      <c r="G439" s="2">
        <v>1663540.84</v>
      </c>
      <c r="H439" s="2">
        <v>604283.17000000004</v>
      </c>
      <c r="I439" s="2">
        <v>87062.63</v>
      </c>
      <c r="J439">
        <v>207</v>
      </c>
      <c r="K439">
        <v>16</v>
      </c>
      <c r="L439">
        <v>740</v>
      </c>
      <c r="M439">
        <v>8</v>
      </c>
      <c r="N439">
        <v>33</v>
      </c>
      <c r="O439" s="2">
        <v>559269.04</v>
      </c>
      <c r="P439" s="2">
        <v>106.92</v>
      </c>
      <c r="Q439" s="2">
        <v>106.76</v>
      </c>
    </row>
    <row r="440" spans="1:17" x14ac:dyDescent="0.45">
      <c r="A440" s="1">
        <v>45047</v>
      </c>
      <c r="B440">
        <v>2023</v>
      </c>
      <c r="C440">
        <v>8</v>
      </c>
      <c r="D440" t="s">
        <v>17</v>
      </c>
      <c r="E440" s="2">
        <v>7820000</v>
      </c>
      <c r="F440" s="2">
        <v>648169.86</v>
      </c>
      <c r="G440" s="2">
        <v>326237.15000000002</v>
      </c>
      <c r="H440" s="2">
        <v>282274.93</v>
      </c>
      <c r="I440" s="2">
        <v>23563.58</v>
      </c>
      <c r="J440">
        <v>44</v>
      </c>
      <c r="K440">
        <v>1</v>
      </c>
      <c r="L440">
        <v>49</v>
      </c>
      <c r="M440">
        <v>1</v>
      </c>
      <c r="N440">
        <v>14</v>
      </c>
      <c r="O440" s="2">
        <v>31685.3</v>
      </c>
      <c r="P440" s="2">
        <v>105.27</v>
      </c>
      <c r="Q440" s="2">
        <v>108.06</v>
      </c>
    </row>
    <row r="441" spans="1:17" x14ac:dyDescent="0.45">
      <c r="A441" s="1">
        <v>44470</v>
      </c>
      <c r="B441">
        <v>2022</v>
      </c>
      <c r="C441">
        <v>1</v>
      </c>
      <c r="D441" t="s">
        <v>17</v>
      </c>
      <c r="E441" s="2">
        <v>7555000</v>
      </c>
      <c r="F441" s="2">
        <v>585067.52000000002</v>
      </c>
      <c r="G441" s="2">
        <v>329371.01</v>
      </c>
      <c r="H441" s="2">
        <v>222089.04</v>
      </c>
      <c r="I441" s="2">
        <v>34549.800000000003</v>
      </c>
      <c r="J441">
        <v>42</v>
      </c>
      <c r="K441">
        <v>3</v>
      </c>
      <c r="L441">
        <v>81</v>
      </c>
      <c r="M441">
        <v>2</v>
      </c>
      <c r="N441">
        <v>13</v>
      </c>
      <c r="O441" s="2">
        <v>50863.25</v>
      </c>
      <c r="P441" s="2">
        <v>110.43</v>
      </c>
      <c r="Q441" s="2">
        <v>102.05</v>
      </c>
    </row>
    <row r="442" spans="1:17" x14ac:dyDescent="0.45">
      <c r="A442" s="1">
        <v>45717</v>
      </c>
      <c r="B442">
        <v>2025</v>
      </c>
      <c r="C442">
        <v>6</v>
      </c>
      <c r="D442" t="s">
        <v>24</v>
      </c>
      <c r="E442" s="2">
        <v>15492000</v>
      </c>
      <c r="F442" s="2">
        <v>1288343.6499999999</v>
      </c>
      <c r="G442" s="2">
        <v>632718.23</v>
      </c>
      <c r="H442" s="2">
        <v>548498.13</v>
      </c>
      <c r="I442" s="2">
        <v>52212.28</v>
      </c>
      <c r="J442">
        <v>81</v>
      </c>
      <c r="K442">
        <v>8</v>
      </c>
      <c r="L442">
        <v>171</v>
      </c>
      <c r="M442">
        <v>2</v>
      </c>
      <c r="N442">
        <v>18</v>
      </c>
      <c r="O442" s="2">
        <v>125028.94</v>
      </c>
      <c r="P442" s="2">
        <v>110.58</v>
      </c>
      <c r="Q442" s="2">
        <v>115.9</v>
      </c>
    </row>
    <row r="443" spans="1:17" x14ac:dyDescent="0.45">
      <c r="A443" s="1">
        <v>45017</v>
      </c>
      <c r="B443">
        <v>2023</v>
      </c>
      <c r="C443">
        <v>7</v>
      </c>
      <c r="D443" t="s">
        <v>23</v>
      </c>
      <c r="E443" s="2">
        <v>20353000</v>
      </c>
      <c r="F443" s="2">
        <v>1503141.07</v>
      </c>
      <c r="G443" s="2">
        <v>784449.45</v>
      </c>
      <c r="H443" s="2">
        <v>607014.37</v>
      </c>
      <c r="I443" s="2">
        <v>70243.44</v>
      </c>
      <c r="J443">
        <v>100</v>
      </c>
      <c r="K443">
        <v>6</v>
      </c>
      <c r="L443">
        <v>371</v>
      </c>
      <c r="M443">
        <v>5</v>
      </c>
      <c r="N443">
        <v>28</v>
      </c>
      <c r="O443" s="2">
        <v>241230.14</v>
      </c>
      <c r="P443" s="2">
        <v>105.78</v>
      </c>
      <c r="Q443" s="2">
        <v>108.44</v>
      </c>
    </row>
    <row r="444" spans="1:17" x14ac:dyDescent="0.45">
      <c r="A444" s="1">
        <v>45078</v>
      </c>
      <c r="B444">
        <v>2023</v>
      </c>
      <c r="C444">
        <v>9</v>
      </c>
      <c r="D444" t="s">
        <v>27</v>
      </c>
      <c r="E444" s="2">
        <v>26781000</v>
      </c>
      <c r="F444" s="2">
        <v>2609503.7599999998</v>
      </c>
      <c r="G444" s="2">
        <v>1797268.35</v>
      </c>
      <c r="H444" s="2">
        <v>450297.11</v>
      </c>
      <c r="I444" s="2">
        <v>225378.62</v>
      </c>
      <c r="J444">
        <v>202</v>
      </c>
      <c r="K444">
        <v>15</v>
      </c>
      <c r="L444">
        <v>911</v>
      </c>
      <c r="M444">
        <v>9</v>
      </c>
      <c r="N444">
        <v>32</v>
      </c>
      <c r="O444" s="2">
        <v>674429.93</v>
      </c>
      <c r="P444" s="2">
        <v>102.24</v>
      </c>
      <c r="Q444" s="2">
        <v>109.39</v>
      </c>
    </row>
    <row r="445" spans="1:17" x14ac:dyDescent="0.45">
      <c r="A445" s="1">
        <v>44562</v>
      </c>
      <c r="B445">
        <v>2022</v>
      </c>
      <c r="C445">
        <v>4</v>
      </c>
      <c r="D445" t="s">
        <v>22</v>
      </c>
      <c r="E445" s="2">
        <v>6417000</v>
      </c>
      <c r="F445" s="2">
        <v>476628.03</v>
      </c>
      <c r="G445" s="2">
        <v>250788.64</v>
      </c>
      <c r="H445" s="2">
        <v>211442.48</v>
      </c>
      <c r="I445" s="2">
        <v>27457.5</v>
      </c>
      <c r="J445">
        <v>30</v>
      </c>
      <c r="K445">
        <v>2</v>
      </c>
      <c r="L445">
        <v>29</v>
      </c>
      <c r="M445">
        <v>3</v>
      </c>
      <c r="N445">
        <v>14</v>
      </c>
      <c r="O445" s="2">
        <v>41413.25</v>
      </c>
      <c r="P445" s="2">
        <v>111.34</v>
      </c>
      <c r="Q445" s="2">
        <v>104.09</v>
      </c>
    </row>
    <row r="446" spans="1:17" x14ac:dyDescent="0.45">
      <c r="A446" s="1">
        <v>44317</v>
      </c>
      <c r="B446">
        <v>2021</v>
      </c>
      <c r="C446">
        <v>8</v>
      </c>
      <c r="D446" t="s">
        <v>27</v>
      </c>
      <c r="E446" s="2">
        <v>25000000</v>
      </c>
      <c r="F446" s="2">
        <v>2301122.39</v>
      </c>
      <c r="G446" s="2">
        <v>1694136.5</v>
      </c>
      <c r="H446" s="2">
        <v>516118.06</v>
      </c>
      <c r="I446" s="2">
        <v>41011.5</v>
      </c>
      <c r="J446">
        <v>213</v>
      </c>
      <c r="L446">
        <v>872</v>
      </c>
      <c r="M446">
        <v>8</v>
      </c>
      <c r="N446">
        <v>35</v>
      </c>
      <c r="O446" s="2">
        <v>578609.87</v>
      </c>
      <c r="P446" s="2">
        <v>104.83</v>
      </c>
      <c r="Q446" s="2">
        <v>101.26</v>
      </c>
    </row>
    <row r="447" spans="1:17" x14ac:dyDescent="0.45">
      <c r="A447" s="1">
        <v>45658</v>
      </c>
      <c r="B447">
        <v>2025</v>
      </c>
      <c r="C447">
        <v>4</v>
      </c>
      <c r="D447" t="s">
        <v>21</v>
      </c>
      <c r="E447" s="2">
        <v>9180000</v>
      </c>
      <c r="F447" s="2">
        <v>747037.07</v>
      </c>
      <c r="G447" s="2">
        <v>482198.66</v>
      </c>
      <c r="H447" s="2">
        <v>231874.86</v>
      </c>
      <c r="I447" s="2">
        <v>14870.59</v>
      </c>
      <c r="J447">
        <v>64</v>
      </c>
      <c r="K447">
        <v>7</v>
      </c>
      <c r="L447">
        <v>38</v>
      </c>
      <c r="M447">
        <v>3</v>
      </c>
      <c r="N447">
        <v>16</v>
      </c>
      <c r="O447" s="2">
        <v>76816.13</v>
      </c>
      <c r="P447" s="2">
        <v>113.39</v>
      </c>
      <c r="Q447" s="2">
        <v>115.91</v>
      </c>
    </row>
    <row r="448" spans="1:17" x14ac:dyDescent="0.45">
      <c r="A448" s="1">
        <v>45870</v>
      </c>
      <c r="B448">
        <v>2025</v>
      </c>
      <c r="C448">
        <v>11</v>
      </c>
      <c r="D448" t="s">
        <v>21</v>
      </c>
      <c r="E448" s="2">
        <v>9180000</v>
      </c>
      <c r="F448" s="2">
        <v>763250.8</v>
      </c>
      <c r="G448" s="2">
        <v>477326.96</v>
      </c>
      <c r="H448" s="2">
        <v>227976.25</v>
      </c>
      <c r="I448" s="2">
        <v>29801.08</v>
      </c>
      <c r="J448">
        <v>64</v>
      </c>
      <c r="K448">
        <v>3</v>
      </c>
      <c r="L448">
        <v>63</v>
      </c>
      <c r="M448">
        <v>2</v>
      </c>
      <c r="N448">
        <v>15</v>
      </c>
      <c r="O448" s="2">
        <v>42180.6</v>
      </c>
      <c r="P448" s="2">
        <v>116.64</v>
      </c>
      <c r="Q448" s="2">
        <v>116.41</v>
      </c>
    </row>
    <row r="449" spans="1:17" x14ac:dyDescent="0.45">
      <c r="A449" s="1">
        <v>45231</v>
      </c>
      <c r="B449">
        <v>2024</v>
      </c>
      <c r="C449">
        <v>2</v>
      </c>
      <c r="D449" t="s">
        <v>21</v>
      </c>
      <c r="E449" s="2">
        <v>8870000</v>
      </c>
      <c r="F449" s="2">
        <v>770574.09</v>
      </c>
      <c r="G449" s="2">
        <v>472039.38</v>
      </c>
      <c r="H449" s="2">
        <v>272539.59999999998</v>
      </c>
      <c r="I449" s="2">
        <v>35367.22</v>
      </c>
      <c r="J449">
        <v>63</v>
      </c>
      <c r="K449">
        <v>3</v>
      </c>
      <c r="L449">
        <v>129</v>
      </c>
      <c r="M449">
        <v>3</v>
      </c>
      <c r="N449">
        <v>21</v>
      </c>
      <c r="O449" s="2">
        <v>78352.740000000005</v>
      </c>
      <c r="P449" s="2">
        <v>100.39</v>
      </c>
      <c r="Q449" s="2">
        <v>109.87</v>
      </c>
    </row>
    <row r="450" spans="1:17" x14ac:dyDescent="0.45">
      <c r="A450" s="1">
        <v>44378</v>
      </c>
      <c r="B450">
        <v>2021</v>
      </c>
      <c r="C450">
        <v>10</v>
      </c>
      <c r="D450" t="s">
        <v>24</v>
      </c>
      <c r="E450" s="2">
        <v>13500000</v>
      </c>
      <c r="F450" s="2">
        <v>1030558.87</v>
      </c>
      <c r="G450" s="2">
        <v>502489.44</v>
      </c>
      <c r="H450" s="2">
        <v>465295.59</v>
      </c>
      <c r="I450" s="2">
        <v>70195.990000000005</v>
      </c>
      <c r="J450">
        <v>74</v>
      </c>
      <c r="K450">
        <v>7</v>
      </c>
      <c r="L450">
        <v>23</v>
      </c>
      <c r="M450">
        <v>3</v>
      </c>
      <c r="N450">
        <v>15</v>
      </c>
      <c r="O450" s="2">
        <v>87846.74</v>
      </c>
      <c r="P450" s="2">
        <v>104.6</v>
      </c>
      <c r="Q450" s="2">
        <v>102.1</v>
      </c>
    </row>
    <row r="451" spans="1:17" x14ac:dyDescent="0.45">
      <c r="A451" s="1">
        <v>44228</v>
      </c>
      <c r="B451">
        <v>2021</v>
      </c>
      <c r="C451">
        <v>5</v>
      </c>
      <c r="D451" t="s">
        <v>25</v>
      </c>
      <c r="E451" s="2">
        <v>4200000</v>
      </c>
      <c r="F451" s="2">
        <v>347351.27</v>
      </c>
      <c r="G451" s="2">
        <v>279763.84999999998</v>
      </c>
      <c r="H451" s="2">
        <v>54033.279999999999</v>
      </c>
      <c r="I451" s="2">
        <v>7735.2</v>
      </c>
      <c r="J451">
        <v>32</v>
      </c>
      <c r="K451">
        <v>5</v>
      </c>
      <c r="L451">
        <v>3</v>
      </c>
      <c r="M451">
        <v>2</v>
      </c>
      <c r="N451">
        <v>13</v>
      </c>
      <c r="O451" s="2">
        <v>18044.48</v>
      </c>
      <c r="P451" s="2">
        <v>104.4</v>
      </c>
      <c r="Q451" s="2">
        <v>100.6</v>
      </c>
    </row>
    <row r="452" spans="1:17" x14ac:dyDescent="0.45">
      <c r="A452" s="1">
        <v>45597</v>
      </c>
      <c r="B452">
        <v>2025</v>
      </c>
      <c r="C452">
        <v>2</v>
      </c>
      <c r="D452" t="s">
        <v>19</v>
      </c>
      <c r="E452" s="2">
        <v>5508000</v>
      </c>
      <c r="F452" s="2">
        <v>492442.61</v>
      </c>
      <c r="G452" s="2">
        <v>403742.86</v>
      </c>
      <c r="H452" s="2">
        <v>73089.61</v>
      </c>
      <c r="I452" s="2">
        <v>11391.54</v>
      </c>
      <c r="J452">
        <v>38</v>
      </c>
      <c r="K452">
        <v>5</v>
      </c>
      <c r="L452">
        <v>68</v>
      </c>
      <c r="M452">
        <v>0</v>
      </c>
      <c r="N452">
        <v>10</v>
      </c>
      <c r="O452" s="2">
        <v>7666.66</v>
      </c>
      <c r="P452" s="2">
        <v>106.2</v>
      </c>
      <c r="Q452" s="2">
        <v>115.56</v>
      </c>
    </row>
    <row r="453" spans="1:17" x14ac:dyDescent="0.45">
      <c r="A453" s="1">
        <v>45689</v>
      </c>
      <c r="B453">
        <v>2025</v>
      </c>
      <c r="C453">
        <v>5</v>
      </c>
      <c r="D453" t="s">
        <v>25</v>
      </c>
      <c r="E453" s="2">
        <v>4820000</v>
      </c>
      <c r="F453" s="2">
        <v>407328.43</v>
      </c>
      <c r="G453" s="2">
        <v>342486.85</v>
      </c>
      <c r="H453" s="2">
        <v>57716.959999999999</v>
      </c>
      <c r="I453" s="2">
        <v>9109.14</v>
      </c>
      <c r="J453">
        <v>33</v>
      </c>
      <c r="K453">
        <v>0</v>
      </c>
      <c r="L453">
        <v>52</v>
      </c>
      <c r="M453">
        <v>2</v>
      </c>
      <c r="N453">
        <v>13</v>
      </c>
      <c r="O453" s="2">
        <v>33657.42</v>
      </c>
      <c r="P453" s="2">
        <v>109.8</v>
      </c>
      <c r="Q453" s="2">
        <v>114.97</v>
      </c>
    </row>
    <row r="454" spans="1:17" x14ac:dyDescent="0.45">
      <c r="A454" s="1">
        <v>45078</v>
      </c>
      <c r="B454">
        <v>2023</v>
      </c>
      <c r="C454">
        <v>9</v>
      </c>
      <c r="D454" t="s">
        <v>22</v>
      </c>
      <c r="E454" s="2">
        <v>6642000</v>
      </c>
      <c r="F454" s="2">
        <v>537032.66</v>
      </c>
      <c r="G454" s="2">
        <v>272710.49</v>
      </c>
      <c r="H454" s="2">
        <v>247933.63</v>
      </c>
      <c r="I454" s="2">
        <v>11745.27</v>
      </c>
      <c r="J454">
        <v>31</v>
      </c>
      <c r="K454">
        <v>3</v>
      </c>
      <c r="L454">
        <v>0</v>
      </c>
      <c r="M454">
        <v>6</v>
      </c>
      <c r="N454">
        <v>20</v>
      </c>
      <c r="O454" s="2">
        <v>82538.52</v>
      </c>
      <c r="P454" s="2">
        <v>104.68</v>
      </c>
      <c r="Q454" s="2">
        <v>109.67</v>
      </c>
    </row>
    <row r="455" spans="1:17" x14ac:dyDescent="0.45">
      <c r="A455" s="1">
        <v>44409</v>
      </c>
      <c r="B455">
        <v>2021</v>
      </c>
      <c r="C455">
        <v>11</v>
      </c>
      <c r="D455" t="s">
        <v>24</v>
      </c>
      <c r="E455" s="2">
        <v>13500000</v>
      </c>
      <c r="F455" s="2">
        <v>1379173.78</v>
      </c>
      <c r="G455" s="2">
        <v>577092.68999999994</v>
      </c>
      <c r="H455" s="2">
        <v>462774.35</v>
      </c>
      <c r="I455" s="2">
        <v>389409.95</v>
      </c>
      <c r="J455">
        <v>80</v>
      </c>
      <c r="K455">
        <v>8</v>
      </c>
      <c r="L455">
        <v>115</v>
      </c>
      <c r="M455">
        <v>2</v>
      </c>
      <c r="N455">
        <v>15</v>
      </c>
      <c r="O455" s="2">
        <v>77353.320000000007</v>
      </c>
      <c r="P455" s="2">
        <v>107.09</v>
      </c>
      <c r="Q455" s="2">
        <v>101.78</v>
      </c>
    </row>
    <row r="456" spans="1:17" x14ac:dyDescent="0.45">
      <c r="A456" s="1">
        <v>45231</v>
      </c>
      <c r="B456">
        <v>2024</v>
      </c>
      <c r="C456">
        <v>2</v>
      </c>
      <c r="D456" t="s">
        <v>23</v>
      </c>
      <c r="E456" s="2">
        <v>21066000</v>
      </c>
      <c r="F456" s="2">
        <v>1678435.67</v>
      </c>
      <c r="G456" s="2">
        <v>783902.14</v>
      </c>
      <c r="H456" s="2">
        <v>755834.88</v>
      </c>
      <c r="I456" s="2">
        <v>109085.17</v>
      </c>
      <c r="J456">
        <v>92</v>
      </c>
      <c r="K456">
        <v>4</v>
      </c>
      <c r="L456">
        <v>447</v>
      </c>
      <c r="M456">
        <v>6</v>
      </c>
      <c r="N456">
        <v>28</v>
      </c>
      <c r="O456" s="2">
        <v>264173.18</v>
      </c>
      <c r="P456" s="2">
        <v>102.05</v>
      </c>
      <c r="Q456" s="2">
        <v>110.23</v>
      </c>
    </row>
    <row r="457" spans="1:17" x14ac:dyDescent="0.45">
      <c r="A457" s="1">
        <v>44197</v>
      </c>
      <c r="B457">
        <v>2021</v>
      </c>
      <c r="C457">
        <v>4</v>
      </c>
      <c r="D457" t="s">
        <v>19</v>
      </c>
      <c r="E457" s="2">
        <v>4800000</v>
      </c>
      <c r="F457" s="2">
        <v>399304.71</v>
      </c>
      <c r="G457" s="2">
        <v>334574.15999999997</v>
      </c>
      <c r="H457" s="2">
        <v>54674.96</v>
      </c>
      <c r="I457" s="2">
        <v>10828.1</v>
      </c>
      <c r="J457">
        <v>36</v>
      </c>
      <c r="K457">
        <v>0</v>
      </c>
      <c r="L457">
        <v>2</v>
      </c>
      <c r="M457">
        <v>3</v>
      </c>
      <c r="N457">
        <v>15</v>
      </c>
      <c r="O457" s="2">
        <v>48324.5</v>
      </c>
      <c r="P457" s="2">
        <v>104.43</v>
      </c>
      <c r="Q457" s="2">
        <v>99.55</v>
      </c>
    </row>
    <row r="458" spans="1:17" x14ac:dyDescent="0.45">
      <c r="A458" s="1">
        <v>44531</v>
      </c>
      <c r="B458">
        <v>2022</v>
      </c>
      <c r="C458">
        <v>3</v>
      </c>
      <c r="D458" t="s">
        <v>21</v>
      </c>
      <c r="E458" s="2">
        <v>8280000</v>
      </c>
      <c r="F458" s="2">
        <v>724586.59</v>
      </c>
      <c r="G458" s="2">
        <v>432820.87</v>
      </c>
      <c r="H458" s="2">
        <v>256127.49</v>
      </c>
      <c r="I458" s="2">
        <v>29434.48</v>
      </c>
      <c r="J458">
        <v>63</v>
      </c>
      <c r="K458">
        <v>1</v>
      </c>
      <c r="L458">
        <v>94</v>
      </c>
      <c r="M458">
        <v>5</v>
      </c>
      <c r="N458">
        <v>19</v>
      </c>
      <c r="O458" s="2">
        <v>70712.39</v>
      </c>
      <c r="P458" s="2">
        <v>107.18</v>
      </c>
      <c r="Q458" s="2">
        <v>103.55</v>
      </c>
    </row>
    <row r="459" spans="1:17" x14ac:dyDescent="0.45">
      <c r="A459" s="1">
        <v>45444</v>
      </c>
      <c r="B459">
        <v>2024</v>
      </c>
      <c r="C459">
        <v>9</v>
      </c>
      <c r="D459" t="s">
        <v>17</v>
      </c>
      <c r="E459" s="2">
        <v>8094000</v>
      </c>
      <c r="F459" s="2">
        <v>693254.78</v>
      </c>
      <c r="G459" s="2">
        <v>370662.7</v>
      </c>
      <c r="H459" s="2">
        <v>261027.65</v>
      </c>
      <c r="I459" s="2">
        <v>23478.240000000002</v>
      </c>
      <c r="J459">
        <v>46</v>
      </c>
      <c r="K459">
        <v>1</v>
      </c>
      <c r="L459">
        <v>57</v>
      </c>
      <c r="M459">
        <v>0</v>
      </c>
      <c r="N459">
        <v>12</v>
      </c>
      <c r="O459" s="2">
        <v>14945.03</v>
      </c>
      <c r="P459" s="2">
        <v>99.91</v>
      </c>
      <c r="Q459" s="2">
        <v>112.6</v>
      </c>
    </row>
    <row r="460" spans="1:17" x14ac:dyDescent="0.45">
      <c r="A460" s="1">
        <v>44409</v>
      </c>
      <c r="B460">
        <v>2021</v>
      </c>
      <c r="C460">
        <v>11</v>
      </c>
      <c r="D460" t="s">
        <v>21</v>
      </c>
      <c r="E460" s="2">
        <v>8000000</v>
      </c>
      <c r="F460" s="2">
        <v>626687.86</v>
      </c>
      <c r="G460" s="2">
        <v>410855.73</v>
      </c>
      <c r="H460" s="2">
        <v>221526.92</v>
      </c>
      <c r="I460" s="2">
        <v>30945.17</v>
      </c>
      <c r="J460">
        <v>62</v>
      </c>
      <c r="K460">
        <v>7</v>
      </c>
      <c r="L460">
        <v>75</v>
      </c>
      <c r="M460">
        <v>0</v>
      </c>
      <c r="N460">
        <v>7</v>
      </c>
      <c r="O460" s="2">
        <v>7998.66</v>
      </c>
      <c r="P460" s="2">
        <v>104.78</v>
      </c>
      <c r="Q460" s="2">
        <v>102.49</v>
      </c>
    </row>
    <row r="461" spans="1:17" x14ac:dyDescent="0.45">
      <c r="A461" s="1">
        <v>45323</v>
      </c>
      <c r="B461">
        <v>2024</v>
      </c>
      <c r="C461">
        <v>5</v>
      </c>
      <c r="D461" t="s">
        <v>23</v>
      </c>
      <c r="E461" s="2">
        <v>21066000</v>
      </c>
      <c r="F461" s="2">
        <v>1543983.6</v>
      </c>
      <c r="G461" s="2">
        <v>833994.69</v>
      </c>
      <c r="H461" s="2">
        <v>473404.96</v>
      </c>
      <c r="I461" s="2">
        <v>123212.06</v>
      </c>
      <c r="J461">
        <v>95</v>
      </c>
      <c r="K461">
        <v>10</v>
      </c>
      <c r="L461">
        <v>446</v>
      </c>
      <c r="M461">
        <v>4</v>
      </c>
      <c r="N461">
        <v>28</v>
      </c>
      <c r="O461" s="2">
        <v>201208.9</v>
      </c>
      <c r="P461" s="2">
        <v>98.56</v>
      </c>
      <c r="Q461" s="2">
        <v>110.89</v>
      </c>
    </row>
    <row r="462" spans="1:17" x14ac:dyDescent="0.45">
      <c r="A462" s="1">
        <v>45536</v>
      </c>
      <c r="B462">
        <v>2024</v>
      </c>
      <c r="C462">
        <v>12</v>
      </c>
      <c r="D462" t="s">
        <v>27</v>
      </c>
      <c r="E462" s="2">
        <v>27718000</v>
      </c>
      <c r="F462" s="2">
        <v>2905207.56</v>
      </c>
      <c r="G462" s="2">
        <v>1926608.78</v>
      </c>
      <c r="H462" s="2">
        <v>555855.39</v>
      </c>
      <c r="I462" s="2">
        <v>354793.06</v>
      </c>
      <c r="J462">
        <v>211</v>
      </c>
      <c r="K462">
        <v>15</v>
      </c>
      <c r="L462">
        <v>1050</v>
      </c>
      <c r="M462">
        <v>9</v>
      </c>
      <c r="N462">
        <v>36</v>
      </c>
      <c r="O462" s="2">
        <v>505823.01</v>
      </c>
      <c r="P462" s="2">
        <v>108.39</v>
      </c>
      <c r="Q462" s="2">
        <v>114.53</v>
      </c>
    </row>
    <row r="463" spans="1:17" x14ac:dyDescent="0.45">
      <c r="A463" s="1">
        <v>45108</v>
      </c>
      <c r="B463">
        <v>2023</v>
      </c>
      <c r="C463">
        <v>10</v>
      </c>
      <c r="D463" t="s">
        <v>27</v>
      </c>
      <c r="E463" s="2">
        <v>26781000</v>
      </c>
      <c r="F463" s="2">
        <v>2596953.71</v>
      </c>
      <c r="G463" s="2">
        <v>1811170.66</v>
      </c>
      <c r="H463" s="2">
        <v>417972.57</v>
      </c>
      <c r="I463" s="2">
        <v>312428.40999999997</v>
      </c>
      <c r="J463">
        <v>215</v>
      </c>
      <c r="K463">
        <v>17</v>
      </c>
      <c r="L463">
        <v>839</v>
      </c>
      <c r="M463">
        <v>11</v>
      </c>
      <c r="N463">
        <v>41</v>
      </c>
      <c r="O463" s="2">
        <v>525014.43999999994</v>
      </c>
      <c r="P463" s="2">
        <v>103.04</v>
      </c>
      <c r="Q463" s="2">
        <v>108.64</v>
      </c>
    </row>
    <row r="464" spans="1:17" x14ac:dyDescent="0.45">
      <c r="A464" s="1">
        <v>45474</v>
      </c>
      <c r="B464">
        <v>2024</v>
      </c>
      <c r="C464">
        <v>10</v>
      </c>
      <c r="D464" t="s">
        <v>19</v>
      </c>
      <c r="E464" s="2">
        <v>5322000</v>
      </c>
      <c r="F464" s="2">
        <v>478897.4</v>
      </c>
      <c r="G464" s="2">
        <v>408551.7</v>
      </c>
      <c r="H464" s="2">
        <v>66843.59</v>
      </c>
      <c r="I464" s="2">
        <v>4412.8100000000004</v>
      </c>
      <c r="J464">
        <v>38</v>
      </c>
      <c r="K464">
        <v>3</v>
      </c>
      <c r="L464">
        <v>37</v>
      </c>
      <c r="M464">
        <v>4</v>
      </c>
      <c r="N464">
        <v>17</v>
      </c>
      <c r="O464" s="2">
        <v>44538.53</v>
      </c>
      <c r="P464" s="2">
        <v>104.27</v>
      </c>
      <c r="Q464" s="2">
        <v>113.03</v>
      </c>
    </row>
    <row r="465" spans="1:17" x14ac:dyDescent="0.45">
      <c r="A465" s="1">
        <v>45717</v>
      </c>
      <c r="B465">
        <v>2025</v>
      </c>
      <c r="C465">
        <v>6</v>
      </c>
      <c r="D465" t="s">
        <v>19</v>
      </c>
      <c r="E465" s="2">
        <v>5508000</v>
      </c>
      <c r="F465" s="2">
        <v>472276.91</v>
      </c>
      <c r="G465" s="2">
        <v>386354.14</v>
      </c>
      <c r="H465" s="2">
        <v>70736.08</v>
      </c>
      <c r="I465" s="2">
        <v>6756.96</v>
      </c>
      <c r="J465">
        <v>37</v>
      </c>
      <c r="K465">
        <v>4</v>
      </c>
      <c r="L465">
        <v>27</v>
      </c>
      <c r="M465">
        <v>3</v>
      </c>
      <c r="N465">
        <v>17</v>
      </c>
      <c r="O465" s="2">
        <v>48040.08</v>
      </c>
      <c r="P465" s="2">
        <v>111.7</v>
      </c>
      <c r="Q465" s="2">
        <v>116.2</v>
      </c>
    </row>
    <row r="466" spans="1:17" x14ac:dyDescent="0.45">
      <c r="A466" s="1">
        <v>45505</v>
      </c>
      <c r="B466">
        <v>2024</v>
      </c>
      <c r="C466">
        <v>11</v>
      </c>
      <c r="D466" t="s">
        <v>19</v>
      </c>
      <c r="E466" s="2">
        <v>5322000</v>
      </c>
      <c r="F466" s="2">
        <v>449833.19</v>
      </c>
      <c r="G466" s="2">
        <v>376685.8</v>
      </c>
      <c r="H466" s="2">
        <v>65578.95</v>
      </c>
      <c r="I466" s="2">
        <v>5852.51</v>
      </c>
      <c r="J466">
        <v>39</v>
      </c>
      <c r="K466">
        <v>5</v>
      </c>
      <c r="L466">
        <v>55</v>
      </c>
      <c r="M466">
        <v>3</v>
      </c>
      <c r="N466">
        <v>15</v>
      </c>
      <c r="O466" s="2">
        <v>43425.760000000002</v>
      </c>
      <c r="P466" s="2">
        <v>105.91</v>
      </c>
      <c r="Q466" s="2">
        <v>113.8</v>
      </c>
    </row>
    <row r="467" spans="1:17" x14ac:dyDescent="0.45">
      <c r="A467" s="1">
        <v>44743</v>
      </c>
      <c r="B467">
        <v>2022</v>
      </c>
      <c r="C467">
        <v>10</v>
      </c>
      <c r="D467" t="s">
        <v>21</v>
      </c>
      <c r="E467" s="2">
        <v>8280000</v>
      </c>
      <c r="F467" s="2">
        <v>664835.37</v>
      </c>
      <c r="G467" s="2">
        <v>440550.23</v>
      </c>
      <c r="H467" s="2">
        <v>192111.52</v>
      </c>
      <c r="I467" s="2">
        <v>28321.33</v>
      </c>
      <c r="J467">
        <v>64</v>
      </c>
      <c r="K467">
        <v>6</v>
      </c>
      <c r="L467">
        <v>61</v>
      </c>
      <c r="M467">
        <v>1</v>
      </c>
      <c r="N467">
        <v>16</v>
      </c>
      <c r="O467" s="2">
        <v>30855.040000000001</v>
      </c>
      <c r="P467" s="2">
        <v>110.07</v>
      </c>
      <c r="Q467" s="2">
        <v>104.95</v>
      </c>
    </row>
    <row r="468" spans="1:17" x14ac:dyDescent="0.45">
      <c r="A468" s="1">
        <v>45689</v>
      </c>
      <c r="B468">
        <v>2025</v>
      </c>
      <c r="C468">
        <v>5</v>
      </c>
      <c r="D468" t="s">
        <v>29</v>
      </c>
      <c r="E468" s="2">
        <v>25246000</v>
      </c>
      <c r="F468" s="2">
        <v>2155827.15</v>
      </c>
      <c r="G468" s="2">
        <v>1669536.47</v>
      </c>
      <c r="H468" s="2">
        <v>377295.63</v>
      </c>
      <c r="I468" s="2">
        <v>49131.64</v>
      </c>
      <c r="J468">
        <v>175</v>
      </c>
      <c r="K468">
        <v>14</v>
      </c>
      <c r="L468">
        <v>711</v>
      </c>
      <c r="M468">
        <v>8</v>
      </c>
      <c r="N468">
        <v>35</v>
      </c>
      <c r="O468" s="2">
        <v>547815.68999999994</v>
      </c>
      <c r="P468" s="2">
        <v>108.58</v>
      </c>
      <c r="Q468" s="2">
        <v>115.1</v>
      </c>
    </row>
    <row r="469" spans="1:17" x14ac:dyDescent="0.45">
      <c r="A469" s="1">
        <v>45962</v>
      </c>
      <c r="B469">
        <v>2026</v>
      </c>
      <c r="C469">
        <v>2</v>
      </c>
      <c r="D469" t="s">
        <v>21</v>
      </c>
      <c r="E469" s="2">
        <v>9501000</v>
      </c>
      <c r="F469" s="2">
        <v>807296.29</v>
      </c>
      <c r="G469" s="2">
        <v>508767.29</v>
      </c>
      <c r="H469" s="2">
        <v>287146.77</v>
      </c>
      <c r="I469" s="2">
        <v>17455.330000000002</v>
      </c>
      <c r="J469">
        <v>67</v>
      </c>
      <c r="K469">
        <v>1</v>
      </c>
      <c r="L469">
        <v>66</v>
      </c>
      <c r="M469">
        <v>4</v>
      </c>
      <c r="N469">
        <v>16</v>
      </c>
      <c r="O469" s="2">
        <v>85857.47</v>
      </c>
      <c r="P469" s="2">
        <v>124.3</v>
      </c>
      <c r="Q469" s="2">
        <v>118.85</v>
      </c>
    </row>
    <row r="470" spans="1:17" x14ac:dyDescent="0.45">
      <c r="A470" s="1">
        <v>44621</v>
      </c>
      <c r="B470">
        <v>2022</v>
      </c>
      <c r="C470">
        <v>6</v>
      </c>
      <c r="D470" t="s">
        <v>18</v>
      </c>
      <c r="E470" s="2">
        <v>3622000</v>
      </c>
      <c r="F470" s="2">
        <v>304282.42</v>
      </c>
      <c r="G470" s="2">
        <v>258413.6</v>
      </c>
      <c r="H470" s="2">
        <v>41901.93</v>
      </c>
      <c r="I470" s="2">
        <v>6241.65</v>
      </c>
      <c r="J470">
        <v>28</v>
      </c>
      <c r="K470">
        <v>5</v>
      </c>
      <c r="L470">
        <v>33</v>
      </c>
      <c r="M470">
        <v>2</v>
      </c>
      <c r="N470">
        <v>9</v>
      </c>
      <c r="O470" s="2">
        <v>16281.09</v>
      </c>
      <c r="P470" s="2">
        <v>112.27</v>
      </c>
      <c r="Q470" s="2">
        <v>103.93</v>
      </c>
    </row>
    <row r="471" spans="1:17" x14ac:dyDescent="0.45">
      <c r="A471" s="1">
        <v>45170</v>
      </c>
      <c r="B471">
        <v>2023</v>
      </c>
      <c r="C471">
        <v>12</v>
      </c>
      <c r="D471" t="s">
        <v>18</v>
      </c>
      <c r="E471" s="2">
        <v>3749000</v>
      </c>
      <c r="F471" s="2">
        <v>317460.37</v>
      </c>
      <c r="G471" s="2">
        <v>265619.73</v>
      </c>
      <c r="H471" s="2">
        <v>45055.71</v>
      </c>
      <c r="I471" s="2">
        <v>6042.21</v>
      </c>
      <c r="J471">
        <v>28</v>
      </c>
      <c r="K471">
        <v>2</v>
      </c>
      <c r="L471">
        <v>33</v>
      </c>
      <c r="M471">
        <v>4</v>
      </c>
      <c r="N471">
        <v>16</v>
      </c>
      <c r="O471" s="2">
        <v>34010.6</v>
      </c>
      <c r="P471" s="2">
        <v>103.43</v>
      </c>
      <c r="Q471" s="2">
        <v>110.5</v>
      </c>
    </row>
    <row r="472" spans="1:17" x14ac:dyDescent="0.45">
      <c r="A472" s="1">
        <v>44531</v>
      </c>
      <c r="B472">
        <v>2022</v>
      </c>
      <c r="C472">
        <v>3</v>
      </c>
      <c r="D472" t="s">
        <v>27</v>
      </c>
      <c r="E472" s="2">
        <v>25875000</v>
      </c>
      <c r="F472" s="2">
        <v>2139745.0499999998</v>
      </c>
      <c r="G472" s="2">
        <v>1647145.85</v>
      </c>
      <c r="H472" s="2">
        <v>501644.95</v>
      </c>
      <c r="I472" s="2">
        <v>64157.48</v>
      </c>
      <c r="J472">
        <v>203</v>
      </c>
      <c r="K472">
        <v>22</v>
      </c>
      <c r="L472">
        <v>812</v>
      </c>
      <c r="M472">
        <v>12</v>
      </c>
      <c r="N472">
        <v>36</v>
      </c>
      <c r="O472" s="2">
        <v>864908.9</v>
      </c>
      <c r="P472" s="2">
        <v>107.53</v>
      </c>
      <c r="Q472" s="2">
        <v>102.77</v>
      </c>
    </row>
    <row r="473" spans="1:17" x14ac:dyDescent="0.45">
      <c r="A473" s="1">
        <v>44621</v>
      </c>
      <c r="B473">
        <v>2022</v>
      </c>
      <c r="C473">
        <v>6</v>
      </c>
      <c r="D473" t="s">
        <v>19</v>
      </c>
      <c r="E473" s="2">
        <v>4968000</v>
      </c>
      <c r="F473" s="2">
        <v>425491.08</v>
      </c>
      <c r="G473" s="2">
        <v>348550.81</v>
      </c>
      <c r="H473" s="2">
        <v>63891.37</v>
      </c>
      <c r="I473" s="2">
        <v>22146.51</v>
      </c>
      <c r="J473">
        <v>37</v>
      </c>
      <c r="K473">
        <v>5</v>
      </c>
      <c r="L473">
        <v>80</v>
      </c>
      <c r="M473">
        <v>2</v>
      </c>
      <c r="N473">
        <v>13</v>
      </c>
      <c r="O473" s="2">
        <v>24775.78</v>
      </c>
      <c r="P473" s="2">
        <v>112.85</v>
      </c>
      <c r="Q473" s="2">
        <v>103.97</v>
      </c>
    </row>
    <row r="474" spans="1:17" x14ac:dyDescent="0.45">
      <c r="A474" s="1">
        <v>45870</v>
      </c>
      <c r="B474">
        <v>2025</v>
      </c>
      <c r="C474">
        <v>11</v>
      </c>
      <c r="D474" t="s">
        <v>27</v>
      </c>
      <c r="E474" s="2">
        <v>28688000</v>
      </c>
      <c r="F474" s="2">
        <v>2529294.6800000002</v>
      </c>
      <c r="G474" s="2">
        <v>1962887.77</v>
      </c>
      <c r="H474" s="2">
        <v>610908.06999999995</v>
      </c>
      <c r="I474" s="2">
        <v>22597.31</v>
      </c>
      <c r="J474">
        <v>211</v>
      </c>
      <c r="K474">
        <v>17</v>
      </c>
      <c r="L474">
        <v>1092</v>
      </c>
      <c r="M474">
        <v>8</v>
      </c>
      <c r="N474">
        <v>27</v>
      </c>
      <c r="O474" s="2">
        <v>485974.16</v>
      </c>
      <c r="P474" s="2">
        <v>117.05</v>
      </c>
      <c r="Q474" s="2">
        <v>117.95</v>
      </c>
    </row>
    <row r="475" spans="1:17" x14ac:dyDescent="0.45">
      <c r="A475" s="1">
        <v>45566</v>
      </c>
      <c r="B475">
        <v>2025</v>
      </c>
      <c r="C475">
        <v>1</v>
      </c>
      <c r="D475" t="s">
        <v>21</v>
      </c>
      <c r="E475" s="2">
        <v>9180000</v>
      </c>
      <c r="F475" s="2">
        <v>796952.48</v>
      </c>
      <c r="G475" s="2">
        <v>527495.46</v>
      </c>
      <c r="H475" s="2">
        <v>231392.83</v>
      </c>
      <c r="I475" s="2">
        <v>13779.07</v>
      </c>
      <c r="J475">
        <v>67</v>
      </c>
      <c r="K475">
        <v>10</v>
      </c>
      <c r="L475">
        <v>153</v>
      </c>
      <c r="M475">
        <v>2</v>
      </c>
      <c r="N475">
        <v>16</v>
      </c>
      <c r="O475" s="2">
        <v>49583.92</v>
      </c>
      <c r="P475" s="2">
        <v>104.6</v>
      </c>
      <c r="Q475" s="2">
        <v>113.77</v>
      </c>
    </row>
    <row r="476" spans="1:17" x14ac:dyDescent="0.45">
      <c r="A476" s="1">
        <v>44562</v>
      </c>
      <c r="B476">
        <v>2022</v>
      </c>
      <c r="C476">
        <v>4</v>
      </c>
      <c r="D476" t="s">
        <v>21</v>
      </c>
      <c r="E476" s="2">
        <v>8280000</v>
      </c>
      <c r="F476" s="2">
        <v>874118.43</v>
      </c>
      <c r="G476" s="2">
        <v>441675.21</v>
      </c>
      <c r="H476" s="2">
        <v>215720.7</v>
      </c>
      <c r="I476" s="2">
        <v>171843.56</v>
      </c>
      <c r="J476">
        <v>63</v>
      </c>
      <c r="K476">
        <v>2</v>
      </c>
      <c r="L476">
        <v>74</v>
      </c>
      <c r="M476">
        <v>3</v>
      </c>
      <c r="N476">
        <v>14</v>
      </c>
      <c r="O476" s="2">
        <v>74374.3</v>
      </c>
      <c r="P476" s="2">
        <v>112.01</v>
      </c>
      <c r="Q476" s="2">
        <v>103.02</v>
      </c>
    </row>
    <row r="477" spans="1:17" x14ac:dyDescent="0.45">
      <c r="A477" s="1">
        <v>45170</v>
      </c>
      <c r="B477">
        <v>2023</v>
      </c>
      <c r="C477">
        <v>12</v>
      </c>
      <c r="D477" t="s">
        <v>27</v>
      </c>
      <c r="E477" s="2">
        <v>26781000</v>
      </c>
      <c r="F477" s="2">
        <v>2320273.7799999998</v>
      </c>
      <c r="G477" s="2">
        <v>1760423.93</v>
      </c>
      <c r="H477" s="2">
        <v>425196.54</v>
      </c>
      <c r="I477" s="2">
        <v>56384.5</v>
      </c>
      <c r="J477">
        <v>212</v>
      </c>
      <c r="K477">
        <v>14</v>
      </c>
      <c r="L477">
        <v>828</v>
      </c>
      <c r="M477">
        <v>8</v>
      </c>
      <c r="N477">
        <v>34</v>
      </c>
      <c r="O477" s="2">
        <v>657469.42000000004</v>
      </c>
      <c r="P477" s="2">
        <v>94.29</v>
      </c>
      <c r="Q477" s="2">
        <v>109.83</v>
      </c>
    </row>
    <row r="478" spans="1:17" x14ac:dyDescent="0.45">
      <c r="A478" s="1">
        <v>45809</v>
      </c>
      <c r="B478">
        <v>2025</v>
      </c>
      <c r="C478">
        <v>9</v>
      </c>
      <c r="D478" t="s">
        <v>28</v>
      </c>
      <c r="E478" s="2">
        <v>25246000</v>
      </c>
      <c r="F478" s="2">
        <v>2309645.27</v>
      </c>
      <c r="G478" s="2">
        <v>1834513.91</v>
      </c>
      <c r="H478" s="2">
        <v>426618.35</v>
      </c>
      <c r="I478" s="2">
        <v>27198.13</v>
      </c>
      <c r="J478">
        <v>188</v>
      </c>
      <c r="K478">
        <v>13</v>
      </c>
      <c r="L478">
        <v>856</v>
      </c>
      <c r="M478">
        <v>7</v>
      </c>
      <c r="N478">
        <v>29</v>
      </c>
      <c r="O478" s="2">
        <v>515424.03</v>
      </c>
      <c r="P478" s="2">
        <v>112.04</v>
      </c>
      <c r="Q478" s="2">
        <v>117.12</v>
      </c>
    </row>
    <row r="479" spans="1:17" x14ac:dyDescent="0.45">
      <c r="A479" s="1">
        <v>45658</v>
      </c>
      <c r="B479">
        <v>2025</v>
      </c>
      <c r="C479">
        <v>4</v>
      </c>
      <c r="D479" t="s">
        <v>24</v>
      </c>
      <c r="E479" s="2">
        <v>15492000</v>
      </c>
      <c r="F479" s="2">
        <v>1292202.7</v>
      </c>
      <c r="G479" s="2">
        <v>646951.16</v>
      </c>
      <c r="H479" s="2">
        <v>548410.4</v>
      </c>
      <c r="I479" s="2">
        <v>89736.85</v>
      </c>
      <c r="J479">
        <v>85</v>
      </c>
      <c r="K479">
        <v>8</v>
      </c>
      <c r="M479">
        <v>5</v>
      </c>
      <c r="N479">
        <v>21</v>
      </c>
      <c r="O479" s="2">
        <v>221123.52</v>
      </c>
      <c r="P479" s="2">
        <v>110.63</v>
      </c>
      <c r="Q479" s="2">
        <v>115.27</v>
      </c>
    </row>
    <row r="480" spans="1:17" x14ac:dyDescent="0.45">
      <c r="A480" s="1">
        <v>44986</v>
      </c>
      <c r="B480">
        <v>2023</v>
      </c>
      <c r="C480">
        <v>6</v>
      </c>
      <c r="D480" t="s">
        <v>23</v>
      </c>
      <c r="E480" s="2">
        <v>20353000</v>
      </c>
      <c r="F480" s="2">
        <v>1757393.76</v>
      </c>
      <c r="G480" s="2">
        <v>803144.52</v>
      </c>
      <c r="H480" s="2">
        <v>795577.67</v>
      </c>
      <c r="I480" s="2">
        <v>72700.070000000007</v>
      </c>
      <c r="J480">
        <v>97</v>
      </c>
      <c r="K480">
        <v>6</v>
      </c>
      <c r="L480">
        <v>529</v>
      </c>
      <c r="M480">
        <v>6</v>
      </c>
      <c r="N480">
        <v>33</v>
      </c>
      <c r="O480" s="2">
        <v>369442.93</v>
      </c>
      <c r="P480" s="2">
        <v>104.44</v>
      </c>
      <c r="Q480" s="2">
        <v>106.72</v>
      </c>
    </row>
    <row r="481" spans="1:17" x14ac:dyDescent="0.45">
      <c r="A481" s="1">
        <v>45323</v>
      </c>
      <c r="B481">
        <v>2024</v>
      </c>
      <c r="C481">
        <v>5</v>
      </c>
      <c r="D481" t="s">
        <v>25</v>
      </c>
      <c r="E481" s="2">
        <v>4657000</v>
      </c>
      <c r="F481" s="2">
        <v>396267.47</v>
      </c>
      <c r="G481" s="2">
        <v>333859.03999999998</v>
      </c>
      <c r="H481" s="2">
        <v>60716.65</v>
      </c>
      <c r="I481" s="2">
        <v>3662.02</v>
      </c>
      <c r="J481">
        <v>34</v>
      </c>
      <c r="K481">
        <v>2</v>
      </c>
      <c r="L481">
        <v>16</v>
      </c>
      <c r="M481">
        <v>2</v>
      </c>
      <c r="N481">
        <v>14</v>
      </c>
      <c r="O481" s="2">
        <v>30156.44</v>
      </c>
      <c r="P481" s="2">
        <v>101.24</v>
      </c>
      <c r="Q481" s="2">
        <v>111.25</v>
      </c>
    </row>
    <row r="482" spans="1:17" x14ac:dyDescent="0.45">
      <c r="A482" s="1">
        <v>45658</v>
      </c>
      <c r="B482">
        <v>2025</v>
      </c>
      <c r="C482">
        <v>4</v>
      </c>
      <c r="D482" t="s">
        <v>27</v>
      </c>
      <c r="E482" s="2">
        <v>28688000</v>
      </c>
      <c r="F482" s="2">
        <v>2393098.8199999998</v>
      </c>
      <c r="G482" s="2">
        <v>1837933.06</v>
      </c>
      <c r="H482" s="2">
        <v>484809.75</v>
      </c>
      <c r="I482" s="2">
        <v>79075.570000000007</v>
      </c>
      <c r="J482">
        <v>215</v>
      </c>
      <c r="K482">
        <v>13</v>
      </c>
      <c r="L482">
        <v>674</v>
      </c>
      <c r="M482">
        <v>9</v>
      </c>
      <c r="N482">
        <v>40</v>
      </c>
      <c r="O482" s="2">
        <v>750135.88</v>
      </c>
      <c r="P482" s="2">
        <v>105.59</v>
      </c>
      <c r="Q482" s="2">
        <v>115.51</v>
      </c>
    </row>
    <row r="483" spans="1:17" x14ac:dyDescent="0.45">
      <c r="A483" s="1">
        <v>45352</v>
      </c>
      <c r="B483">
        <v>2024</v>
      </c>
      <c r="C483">
        <v>6</v>
      </c>
      <c r="D483" t="s">
        <v>18</v>
      </c>
      <c r="E483" s="2">
        <v>3881000</v>
      </c>
      <c r="F483" s="2">
        <v>373443.57</v>
      </c>
      <c r="G483" s="2">
        <v>316999.39</v>
      </c>
      <c r="H483" s="2">
        <v>45064.26</v>
      </c>
      <c r="I483" s="2">
        <v>7376.53</v>
      </c>
      <c r="J483">
        <v>29</v>
      </c>
      <c r="K483">
        <v>5</v>
      </c>
      <c r="L483">
        <v>45</v>
      </c>
      <c r="M483">
        <v>0</v>
      </c>
      <c r="N483">
        <v>8</v>
      </c>
      <c r="O483" s="2">
        <v>6174.85</v>
      </c>
      <c r="P483" s="2">
        <v>101.78</v>
      </c>
      <c r="Q483" s="2">
        <v>111.96</v>
      </c>
    </row>
    <row r="484" spans="1:17" x14ac:dyDescent="0.45">
      <c r="A484" s="1">
        <v>45352</v>
      </c>
      <c r="B484">
        <v>2024</v>
      </c>
      <c r="C484">
        <v>6</v>
      </c>
      <c r="D484" t="s">
        <v>17</v>
      </c>
      <c r="E484" s="2">
        <v>8094000</v>
      </c>
      <c r="F484" s="2">
        <v>669307.84</v>
      </c>
      <c r="G484" s="2">
        <v>374119.37</v>
      </c>
      <c r="H484" s="2">
        <v>261567.35999999999</v>
      </c>
      <c r="I484" s="2">
        <v>42956.42</v>
      </c>
      <c r="J484">
        <v>46</v>
      </c>
      <c r="K484">
        <v>2</v>
      </c>
      <c r="L484">
        <v>25</v>
      </c>
      <c r="M484">
        <v>0</v>
      </c>
      <c r="N484">
        <v>16</v>
      </c>
      <c r="O484" s="2">
        <v>23615.5</v>
      </c>
      <c r="P484" s="2">
        <v>99.21</v>
      </c>
      <c r="Q484" s="2">
        <v>112.27</v>
      </c>
    </row>
    <row r="485" spans="1:17" x14ac:dyDescent="0.45">
      <c r="A485" s="1">
        <v>44805</v>
      </c>
      <c r="B485">
        <v>2022</v>
      </c>
      <c r="C485">
        <v>12</v>
      </c>
      <c r="D485" t="s">
        <v>23</v>
      </c>
      <c r="E485" s="2">
        <v>19665000</v>
      </c>
      <c r="F485" s="2">
        <v>1637580.54</v>
      </c>
      <c r="G485" s="2">
        <v>766812.06</v>
      </c>
      <c r="H485" s="2">
        <v>864186.39</v>
      </c>
      <c r="I485" s="2">
        <v>55468.42</v>
      </c>
      <c r="J485">
        <v>94</v>
      </c>
      <c r="K485">
        <v>8</v>
      </c>
      <c r="L485">
        <v>369</v>
      </c>
      <c r="M485">
        <v>9</v>
      </c>
      <c r="N485">
        <v>37</v>
      </c>
      <c r="O485" s="2">
        <v>443705.53</v>
      </c>
      <c r="P485" s="2">
        <v>109</v>
      </c>
      <c r="Q485" s="2">
        <v>105.81</v>
      </c>
    </row>
    <row r="486" spans="1:17" x14ac:dyDescent="0.45">
      <c r="A486" s="1">
        <v>45505</v>
      </c>
      <c r="B486">
        <v>2024</v>
      </c>
      <c r="C486">
        <v>11</v>
      </c>
      <c r="D486" t="s">
        <v>24</v>
      </c>
      <c r="E486" s="2">
        <v>14968000</v>
      </c>
      <c r="F486" s="2">
        <v>1676308.87</v>
      </c>
      <c r="G486" s="2">
        <v>661480.80000000005</v>
      </c>
      <c r="H486" s="2">
        <v>590788.72</v>
      </c>
      <c r="I486" s="2">
        <v>431914.48</v>
      </c>
      <c r="J486">
        <v>84</v>
      </c>
      <c r="K486">
        <v>6</v>
      </c>
      <c r="L486">
        <v>106</v>
      </c>
      <c r="M486">
        <v>5</v>
      </c>
      <c r="N486">
        <v>23</v>
      </c>
      <c r="O486" s="2">
        <v>155036.49</v>
      </c>
      <c r="P486" s="2">
        <v>106.52</v>
      </c>
      <c r="Q486" s="2">
        <v>113.69</v>
      </c>
    </row>
    <row r="487" spans="1:17" x14ac:dyDescent="0.45">
      <c r="A487" s="1">
        <v>44228</v>
      </c>
      <c r="B487">
        <v>2021</v>
      </c>
      <c r="C487">
        <v>5</v>
      </c>
      <c r="D487" t="s">
        <v>17</v>
      </c>
      <c r="E487" s="2">
        <v>7300000</v>
      </c>
      <c r="F487" s="2">
        <v>553901.44999999995</v>
      </c>
      <c r="G487" s="2">
        <v>303482.93</v>
      </c>
      <c r="H487" s="2">
        <v>259273.86</v>
      </c>
      <c r="I487" s="2">
        <v>31890.26</v>
      </c>
      <c r="J487">
        <v>43</v>
      </c>
      <c r="K487">
        <v>2</v>
      </c>
      <c r="L487">
        <v>38</v>
      </c>
      <c r="M487">
        <v>1</v>
      </c>
      <c r="N487">
        <v>12</v>
      </c>
      <c r="O487" s="2">
        <v>26156.46</v>
      </c>
      <c r="P487" s="2">
        <v>103.25</v>
      </c>
      <c r="Q487" s="2">
        <v>100.61</v>
      </c>
    </row>
    <row r="488" spans="1:17" x14ac:dyDescent="0.45">
      <c r="A488" s="1">
        <v>45717</v>
      </c>
      <c r="B488">
        <v>2025</v>
      </c>
      <c r="C488">
        <v>6</v>
      </c>
      <c r="D488" t="s">
        <v>27</v>
      </c>
      <c r="E488" s="2">
        <v>28688000</v>
      </c>
      <c r="F488" s="2">
        <v>2668149.2599999998</v>
      </c>
      <c r="G488" s="2">
        <v>2024128.86</v>
      </c>
      <c r="H488" s="2">
        <v>529736.18000000005</v>
      </c>
      <c r="I488" s="2">
        <v>47275.53</v>
      </c>
      <c r="J488">
        <v>213</v>
      </c>
      <c r="K488">
        <v>14</v>
      </c>
      <c r="L488">
        <v>1021</v>
      </c>
      <c r="M488">
        <v>8</v>
      </c>
      <c r="N488">
        <v>30</v>
      </c>
      <c r="O488" s="2">
        <v>660715.27</v>
      </c>
      <c r="P488" s="2">
        <v>110.3</v>
      </c>
      <c r="Q488" s="2">
        <v>115.27</v>
      </c>
    </row>
    <row r="489" spans="1:17" x14ac:dyDescent="0.45">
      <c r="A489" s="1">
        <v>45231</v>
      </c>
      <c r="B489">
        <v>2024</v>
      </c>
      <c r="C489">
        <v>2</v>
      </c>
      <c r="D489" t="s">
        <v>18</v>
      </c>
      <c r="E489" s="2">
        <v>3881000</v>
      </c>
      <c r="F489" s="2">
        <v>373396.85</v>
      </c>
      <c r="G489" s="2">
        <v>284694.28999999998</v>
      </c>
      <c r="H489" s="2">
        <v>50176.44</v>
      </c>
      <c r="I489" s="2">
        <v>32929.96</v>
      </c>
      <c r="J489">
        <v>28</v>
      </c>
      <c r="K489">
        <v>2</v>
      </c>
      <c r="L489">
        <v>40</v>
      </c>
      <c r="M489">
        <v>0</v>
      </c>
      <c r="N489">
        <v>12</v>
      </c>
      <c r="O489" s="2">
        <v>5636.41</v>
      </c>
      <c r="P489" s="2">
        <v>100.13</v>
      </c>
      <c r="Q489" s="2">
        <v>111.11</v>
      </c>
    </row>
    <row r="490" spans="1:17" x14ac:dyDescent="0.45">
      <c r="A490" s="1">
        <v>45505</v>
      </c>
      <c r="B490">
        <v>2024</v>
      </c>
      <c r="C490">
        <v>11</v>
      </c>
      <c r="D490" t="s">
        <v>28</v>
      </c>
      <c r="E490" s="2">
        <v>24392000</v>
      </c>
      <c r="F490" s="2">
        <v>2117230.38</v>
      </c>
      <c r="G490" s="2">
        <v>1704425.07</v>
      </c>
      <c r="H490" s="2">
        <v>379476.34</v>
      </c>
      <c r="I490" s="2">
        <v>72278.2</v>
      </c>
      <c r="J490">
        <v>182</v>
      </c>
      <c r="K490">
        <v>16</v>
      </c>
      <c r="L490">
        <v>772</v>
      </c>
      <c r="M490">
        <v>7</v>
      </c>
      <c r="N490">
        <v>31</v>
      </c>
      <c r="O490" s="2">
        <v>456625.53</v>
      </c>
      <c r="P490" s="2">
        <v>105.09</v>
      </c>
      <c r="Q490" s="2">
        <v>113.57</v>
      </c>
    </row>
    <row r="491" spans="1:17" x14ac:dyDescent="0.45">
      <c r="A491" s="1">
        <v>44958</v>
      </c>
      <c r="B491">
        <v>2023</v>
      </c>
      <c r="C491">
        <v>5</v>
      </c>
      <c r="D491" t="s">
        <v>18</v>
      </c>
      <c r="E491" s="2">
        <v>3749000</v>
      </c>
      <c r="F491" s="2">
        <v>336939.12</v>
      </c>
      <c r="G491" s="2">
        <v>291896.13</v>
      </c>
      <c r="H491" s="2">
        <v>39703.86</v>
      </c>
      <c r="I491" s="2">
        <v>4083.86</v>
      </c>
      <c r="J491">
        <v>29</v>
      </c>
      <c r="K491">
        <v>1</v>
      </c>
      <c r="L491">
        <v>51</v>
      </c>
      <c r="M491">
        <v>0</v>
      </c>
      <c r="N491">
        <v>6</v>
      </c>
      <c r="O491" s="2">
        <v>3389.34</v>
      </c>
      <c r="P491" s="2">
        <v>105.04</v>
      </c>
      <c r="Q491" s="2">
        <v>108.11</v>
      </c>
    </row>
    <row r="492" spans="1:17" x14ac:dyDescent="0.45">
      <c r="A492" s="1">
        <v>44805</v>
      </c>
      <c r="B492">
        <v>2022</v>
      </c>
      <c r="C492">
        <v>12</v>
      </c>
      <c r="D492" t="s">
        <v>18</v>
      </c>
      <c r="E492" s="2">
        <v>3622000</v>
      </c>
      <c r="F492" s="2">
        <v>315668.68</v>
      </c>
      <c r="G492" s="2">
        <v>267231.69</v>
      </c>
      <c r="H492" s="2">
        <v>44657.55</v>
      </c>
      <c r="I492" s="2">
        <v>5978.65</v>
      </c>
      <c r="J492">
        <v>28</v>
      </c>
      <c r="K492">
        <v>2</v>
      </c>
      <c r="L492">
        <v>50</v>
      </c>
      <c r="M492">
        <v>3</v>
      </c>
      <c r="N492">
        <v>15</v>
      </c>
      <c r="O492" s="2">
        <v>27376.42</v>
      </c>
      <c r="P492" s="2">
        <v>108.31</v>
      </c>
      <c r="Q492" s="2">
        <v>106.36</v>
      </c>
    </row>
    <row r="493" spans="1:17" x14ac:dyDescent="0.45">
      <c r="A493" s="1">
        <v>44866</v>
      </c>
      <c r="B493">
        <v>2023</v>
      </c>
      <c r="C493">
        <v>2</v>
      </c>
      <c r="D493" t="s">
        <v>24</v>
      </c>
      <c r="E493" s="2">
        <v>14462000</v>
      </c>
      <c r="F493" s="2">
        <v>1588520.7</v>
      </c>
      <c r="G493" s="2">
        <v>597215.81999999995</v>
      </c>
      <c r="H493" s="2">
        <v>593487.12</v>
      </c>
      <c r="I493" s="2">
        <v>416981.1</v>
      </c>
      <c r="J493">
        <v>80</v>
      </c>
      <c r="K493">
        <v>5</v>
      </c>
      <c r="L493">
        <v>172</v>
      </c>
      <c r="M493">
        <v>5</v>
      </c>
      <c r="N493">
        <v>21</v>
      </c>
      <c r="O493" s="2">
        <v>144272.44</v>
      </c>
      <c r="P493" s="2">
        <v>107.44</v>
      </c>
      <c r="Q493" s="2">
        <v>106.84</v>
      </c>
    </row>
    <row r="494" spans="1:17" x14ac:dyDescent="0.45">
      <c r="A494" s="1">
        <v>45566</v>
      </c>
      <c r="B494">
        <v>2025</v>
      </c>
      <c r="C494">
        <v>1</v>
      </c>
      <c r="D494" t="s">
        <v>27</v>
      </c>
      <c r="E494" s="2">
        <v>28688000</v>
      </c>
      <c r="F494" s="2">
        <v>2726328.45</v>
      </c>
      <c r="G494" s="2">
        <v>1873256.13</v>
      </c>
      <c r="H494" s="2">
        <v>638264.9</v>
      </c>
      <c r="I494" s="2">
        <v>23714.38</v>
      </c>
      <c r="J494">
        <v>212</v>
      </c>
      <c r="K494">
        <v>15</v>
      </c>
      <c r="L494">
        <v>827</v>
      </c>
      <c r="M494">
        <v>10</v>
      </c>
      <c r="N494">
        <v>41</v>
      </c>
      <c r="O494" s="2">
        <v>903255.07</v>
      </c>
      <c r="P494" s="2">
        <v>105.31</v>
      </c>
      <c r="Q494" s="2">
        <v>113.63</v>
      </c>
    </row>
    <row r="495" spans="1:17" x14ac:dyDescent="0.45">
      <c r="A495" s="1">
        <v>45658</v>
      </c>
      <c r="B495">
        <v>2025</v>
      </c>
      <c r="C495">
        <v>4</v>
      </c>
      <c r="D495" t="s">
        <v>28</v>
      </c>
      <c r="E495" s="2">
        <v>25246000</v>
      </c>
      <c r="F495" s="2">
        <v>2149442.7799999998</v>
      </c>
      <c r="G495" s="2">
        <v>1707564.18</v>
      </c>
      <c r="H495" s="2">
        <v>358787.04</v>
      </c>
      <c r="I495" s="2">
        <v>35072.720000000001</v>
      </c>
      <c r="J495">
        <v>181</v>
      </c>
      <c r="K495">
        <v>15</v>
      </c>
      <c r="L495">
        <v>663</v>
      </c>
      <c r="M495">
        <v>9</v>
      </c>
      <c r="N495">
        <v>30</v>
      </c>
      <c r="O495" s="2">
        <v>553802.48</v>
      </c>
      <c r="P495" s="2">
        <v>108.45</v>
      </c>
      <c r="Q495" s="2">
        <v>115.19</v>
      </c>
    </row>
    <row r="496" spans="1:17" x14ac:dyDescent="0.45">
      <c r="A496" s="1">
        <v>45292</v>
      </c>
      <c r="B496">
        <v>2024</v>
      </c>
      <c r="C496">
        <v>4</v>
      </c>
      <c r="D496" t="s">
        <v>28</v>
      </c>
      <c r="E496" s="2">
        <v>24392000</v>
      </c>
      <c r="F496" s="2">
        <v>1994780.53</v>
      </c>
      <c r="G496" s="2">
        <v>1688217.42</v>
      </c>
      <c r="H496" s="2">
        <v>429028.83</v>
      </c>
      <c r="I496" s="2">
        <v>44847.59</v>
      </c>
      <c r="J496">
        <v>182</v>
      </c>
      <c r="K496">
        <v>14</v>
      </c>
      <c r="L496">
        <v>605</v>
      </c>
      <c r="M496">
        <v>4</v>
      </c>
      <c r="N496">
        <v>26</v>
      </c>
      <c r="O496" s="2">
        <v>329701.46999999997</v>
      </c>
      <c r="P496" s="2">
        <v>103.68</v>
      </c>
      <c r="Q496" s="2">
        <v>111.05</v>
      </c>
    </row>
    <row r="497" spans="1:17" x14ac:dyDescent="0.45">
      <c r="A497" s="1">
        <v>44531</v>
      </c>
      <c r="B497">
        <v>2022</v>
      </c>
      <c r="C497">
        <v>3</v>
      </c>
      <c r="D497" t="s">
        <v>19</v>
      </c>
      <c r="E497" s="2">
        <v>4968000</v>
      </c>
      <c r="F497" s="2">
        <v>436900.73</v>
      </c>
      <c r="G497" s="2">
        <v>340169.92</v>
      </c>
      <c r="H497" s="2">
        <v>85937.88</v>
      </c>
      <c r="I497" s="2">
        <v>4889.37</v>
      </c>
      <c r="J497">
        <v>36</v>
      </c>
      <c r="K497">
        <v>4</v>
      </c>
      <c r="L497">
        <v>50</v>
      </c>
      <c r="M497">
        <v>1</v>
      </c>
      <c r="N497">
        <v>12</v>
      </c>
      <c r="O497" s="2">
        <v>16988.259999999998</v>
      </c>
      <c r="P497" s="2">
        <v>114.8</v>
      </c>
      <c r="Q497" s="2">
        <v>103.13</v>
      </c>
    </row>
    <row r="498" spans="1:17" x14ac:dyDescent="0.45">
      <c r="A498" s="1">
        <v>44866</v>
      </c>
      <c r="B498">
        <v>2023</v>
      </c>
      <c r="C498">
        <v>2</v>
      </c>
      <c r="D498" t="s">
        <v>25</v>
      </c>
      <c r="E498" s="2">
        <v>4499000</v>
      </c>
      <c r="F498" s="2">
        <v>368990.69</v>
      </c>
      <c r="G498" s="2">
        <v>296884.74</v>
      </c>
      <c r="H498" s="2">
        <v>63505.49</v>
      </c>
      <c r="I498" s="2">
        <v>10971.99</v>
      </c>
      <c r="J498">
        <v>32</v>
      </c>
      <c r="K498">
        <v>4</v>
      </c>
      <c r="L498">
        <v>50</v>
      </c>
      <c r="M498">
        <v>1</v>
      </c>
      <c r="N498">
        <v>8</v>
      </c>
      <c r="O498" s="2">
        <v>14506.6</v>
      </c>
      <c r="P498" s="2">
        <v>107.63</v>
      </c>
      <c r="Q498" s="2">
        <v>107.07</v>
      </c>
    </row>
    <row r="499" spans="1:17" x14ac:dyDescent="0.45">
      <c r="A499" s="1">
        <v>44197</v>
      </c>
      <c r="B499">
        <v>2021</v>
      </c>
      <c r="C499">
        <v>4</v>
      </c>
      <c r="D499" t="s">
        <v>28</v>
      </c>
      <c r="E499" s="2">
        <v>22000000</v>
      </c>
      <c r="F499" s="2">
        <v>1889987.85</v>
      </c>
      <c r="G499" s="2">
        <v>1394409.14</v>
      </c>
      <c r="H499" s="2">
        <v>356967.71</v>
      </c>
      <c r="I499" s="2">
        <v>33023.42</v>
      </c>
      <c r="J499">
        <v>171</v>
      </c>
      <c r="K499">
        <v>18</v>
      </c>
      <c r="L499">
        <v>576</v>
      </c>
      <c r="M499">
        <v>8</v>
      </c>
      <c r="N499">
        <v>29</v>
      </c>
      <c r="O499" s="2">
        <v>351563.54</v>
      </c>
      <c r="P499" s="2">
        <v>100.06</v>
      </c>
      <c r="Q499" s="2">
        <v>99.8</v>
      </c>
    </row>
    <row r="500" spans="1:17" x14ac:dyDescent="0.45">
      <c r="A500" s="1">
        <v>44409</v>
      </c>
      <c r="B500">
        <v>2021</v>
      </c>
      <c r="C500">
        <v>11</v>
      </c>
      <c r="D500" t="s">
        <v>28</v>
      </c>
      <c r="E500" s="2">
        <v>22000000</v>
      </c>
      <c r="F500" s="2">
        <v>1998037.71</v>
      </c>
      <c r="G500" s="2">
        <v>1539957.85</v>
      </c>
      <c r="H500" s="2">
        <v>377677.46</v>
      </c>
      <c r="I500" s="2">
        <v>18693.060000000001</v>
      </c>
      <c r="J500">
        <v>180</v>
      </c>
      <c r="K500">
        <v>14</v>
      </c>
      <c r="L500">
        <v>715</v>
      </c>
      <c r="M500">
        <v>6</v>
      </c>
      <c r="N500">
        <v>30</v>
      </c>
      <c r="O500" s="2">
        <v>295210.43</v>
      </c>
      <c r="P500" s="2">
        <v>103.77</v>
      </c>
      <c r="Q500" s="2">
        <v>102.01</v>
      </c>
    </row>
    <row r="501" spans="1:17" x14ac:dyDescent="0.45">
      <c r="A501" s="1">
        <v>45689</v>
      </c>
      <c r="B501">
        <v>2025</v>
      </c>
      <c r="C501">
        <v>5</v>
      </c>
      <c r="D501" t="s">
        <v>27</v>
      </c>
      <c r="E501" s="2">
        <v>28688000</v>
      </c>
      <c r="F501" s="2">
        <v>2633769.0299999998</v>
      </c>
      <c r="G501" s="2">
        <v>1945218.8</v>
      </c>
      <c r="H501" s="2">
        <v>533096.71</v>
      </c>
      <c r="I501" s="2">
        <v>91298.19</v>
      </c>
      <c r="J501">
        <v>219</v>
      </c>
      <c r="K501">
        <v>16</v>
      </c>
      <c r="L501">
        <v>890</v>
      </c>
      <c r="M501">
        <v>10</v>
      </c>
      <c r="N501">
        <v>29</v>
      </c>
      <c r="O501" s="2">
        <v>471764.29</v>
      </c>
      <c r="P501" s="2">
        <v>109.31</v>
      </c>
      <c r="Q501" s="2">
        <v>114.81</v>
      </c>
    </row>
    <row r="502" spans="1:17" x14ac:dyDescent="0.45">
      <c r="A502" s="1">
        <v>45017</v>
      </c>
      <c r="B502">
        <v>2023</v>
      </c>
      <c r="C502">
        <v>7</v>
      </c>
      <c r="D502" t="s">
        <v>25</v>
      </c>
      <c r="E502" s="2">
        <v>4499000</v>
      </c>
      <c r="F502" s="2">
        <v>397108.56</v>
      </c>
      <c r="G502" s="2">
        <v>321065.33</v>
      </c>
      <c r="H502" s="2">
        <v>62796.51</v>
      </c>
      <c r="I502" s="2">
        <v>8746.85</v>
      </c>
      <c r="J502">
        <v>33</v>
      </c>
      <c r="K502">
        <v>1</v>
      </c>
      <c r="L502">
        <v>38</v>
      </c>
      <c r="M502">
        <v>1</v>
      </c>
      <c r="N502">
        <v>16</v>
      </c>
      <c r="O502" s="2">
        <v>19856.27</v>
      </c>
      <c r="P502" s="2">
        <v>105.23</v>
      </c>
      <c r="Q502" s="2">
        <v>108.17</v>
      </c>
    </row>
    <row r="503" spans="1:17" x14ac:dyDescent="0.45">
      <c r="A503" s="1">
        <v>45931</v>
      </c>
      <c r="B503">
        <v>2026</v>
      </c>
      <c r="C503">
        <v>1</v>
      </c>
      <c r="D503" t="s">
        <v>19</v>
      </c>
      <c r="E503" s="2">
        <v>5701000</v>
      </c>
      <c r="F503" s="2">
        <v>511389.04</v>
      </c>
      <c r="G503" s="2">
        <v>416401.94</v>
      </c>
      <c r="H503" s="2">
        <v>81370.91</v>
      </c>
      <c r="I503" s="2">
        <v>6980.47</v>
      </c>
      <c r="J503">
        <v>38</v>
      </c>
      <c r="K503">
        <v>0</v>
      </c>
      <c r="L503">
        <v>99</v>
      </c>
      <c r="M503">
        <v>1</v>
      </c>
      <c r="N503">
        <v>12</v>
      </c>
      <c r="O503" s="2">
        <v>20833.54</v>
      </c>
      <c r="P503" s="2">
        <v>116.01</v>
      </c>
      <c r="Q503" s="2">
        <v>118.39</v>
      </c>
    </row>
    <row r="504" spans="1:17" x14ac:dyDescent="0.45">
      <c r="A504" s="1">
        <v>45261</v>
      </c>
      <c r="B504">
        <v>2024</v>
      </c>
      <c r="C504">
        <v>3</v>
      </c>
      <c r="D504" t="s">
        <v>18</v>
      </c>
      <c r="E504" s="2">
        <v>3881000</v>
      </c>
      <c r="F504" s="2">
        <v>347645.67</v>
      </c>
      <c r="G504" s="2">
        <v>289433.90999999997</v>
      </c>
      <c r="H504" s="2">
        <v>55185.2</v>
      </c>
      <c r="I504" s="2">
        <v>4643.79</v>
      </c>
      <c r="J504">
        <v>28</v>
      </c>
      <c r="K504">
        <v>1</v>
      </c>
      <c r="L504">
        <v>18</v>
      </c>
      <c r="M504">
        <v>0</v>
      </c>
      <c r="N504">
        <v>5</v>
      </c>
      <c r="O504" s="2">
        <v>3185.7</v>
      </c>
      <c r="P504" s="2">
        <v>101.09</v>
      </c>
      <c r="Q504" s="2">
        <v>110.69</v>
      </c>
    </row>
    <row r="505" spans="1:17" x14ac:dyDescent="0.45">
      <c r="A505" s="1">
        <v>45778</v>
      </c>
      <c r="B505">
        <v>2025</v>
      </c>
      <c r="C505">
        <v>8</v>
      </c>
      <c r="D505" t="s">
        <v>19</v>
      </c>
      <c r="E505" s="2">
        <v>5508000</v>
      </c>
      <c r="F505" s="2">
        <v>468055.41</v>
      </c>
      <c r="G505" s="2">
        <v>383960.54</v>
      </c>
      <c r="H505" s="2">
        <v>69084.86</v>
      </c>
      <c r="I505" s="2">
        <v>6138.22</v>
      </c>
      <c r="J505">
        <v>37</v>
      </c>
      <c r="K505">
        <v>4</v>
      </c>
      <c r="L505">
        <v>50</v>
      </c>
      <c r="M505">
        <v>1</v>
      </c>
      <c r="N505">
        <v>12</v>
      </c>
      <c r="O505" s="2">
        <v>14218.04</v>
      </c>
      <c r="P505" s="2">
        <v>114.73</v>
      </c>
      <c r="Q505" s="2">
        <v>116.34</v>
      </c>
    </row>
    <row r="506" spans="1:17" x14ac:dyDescent="0.45">
      <c r="A506" s="1">
        <v>44501</v>
      </c>
      <c r="B506">
        <v>2022</v>
      </c>
      <c r="C506">
        <v>2</v>
      </c>
      <c r="D506" t="s">
        <v>23</v>
      </c>
      <c r="E506" s="2">
        <v>19665000</v>
      </c>
      <c r="F506" s="2">
        <v>2170946.33</v>
      </c>
      <c r="G506" s="2">
        <v>769673.64</v>
      </c>
      <c r="H506" s="2">
        <v>919227.39</v>
      </c>
      <c r="I506" s="2">
        <v>454532.57</v>
      </c>
      <c r="J506">
        <v>96</v>
      </c>
      <c r="K506">
        <v>6</v>
      </c>
      <c r="L506">
        <v>455</v>
      </c>
      <c r="M506">
        <v>5</v>
      </c>
      <c r="N506">
        <v>24</v>
      </c>
      <c r="O506" s="2">
        <v>178964.2</v>
      </c>
      <c r="P506" s="2">
        <v>110.78</v>
      </c>
      <c r="Q506" s="2">
        <v>103.15</v>
      </c>
    </row>
    <row r="507" spans="1:17" x14ac:dyDescent="0.45">
      <c r="A507" s="1">
        <v>45444</v>
      </c>
      <c r="B507">
        <v>2024</v>
      </c>
      <c r="C507">
        <v>9</v>
      </c>
      <c r="D507" t="s">
        <v>19</v>
      </c>
      <c r="E507" s="2">
        <v>5322000</v>
      </c>
      <c r="F507" s="2">
        <v>431513.48</v>
      </c>
      <c r="G507" s="2">
        <v>368918.43</v>
      </c>
      <c r="H507" s="2">
        <v>67646.240000000005</v>
      </c>
      <c r="I507" s="2">
        <v>4037.96</v>
      </c>
      <c r="J507">
        <v>36</v>
      </c>
      <c r="L507">
        <v>11</v>
      </c>
      <c r="M507">
        <v>2</v>
      </c>
      <c r="N507">
        <v>9</v>
      </c>
      <c r="O507" s="2">
        <v>29160.23</v>
      </c>
      <c r="P507" s="2">
        <v>100.73</v>
      </c>
      <c r="Q507" s="2">
        <v>112.95</v>
      </c>
    </row>
    <row r="508" spans="1:17" x14ac:dyDescent="0.45">
      <c r="A508" s="1">
        <v>45474</v>
      </c>
      <c r="B508">
        <v>2024</v>
      </c>
      <c r="C508">
        <v>10</v>
      </c>
      <c r="D508" t="s">
        <v>25</v>
      </c>
      <c r="E508" s="2">
        <v>4657000</v>
      </c>
      <c r="F508" s="2">
        <v>408081.74</v>
      </c>
      <c r="G508" s="2">
        <v>333636.67</v>
      </c>
      <c r="H508" s="2">
        <v>66569.94</v>
      </c>
      <c r="I508" s="2">
        <v>10235.81</v>
      </c>
      <c r="J508">
        <v>33</v>
      </c>
      <c r="K508">
        <v>3</v>
      </c>
      <c r="L508">
        <v>48</v>
      </c>
      <c r="M508">
        <v>1</v>
      </c>
      <c r="N508">
        <v>13</v>
      </c>
      <c r="O508" s="2">
        <v>15591.43</v>
      </c>
      <c r="P508" s="2">
        <v>105.83</v>
      </c>
      <c r="Q508" s="2">
        <v>113.03</v>
      </c>
    </row>
    <row r="509" spans="1:17" x14ac:dyDescent="0.45">
      <c r="A509" s="1">
        <v>45962</v>
      </c>
      <c r="B509">
        <v>2026</v>
      </c>
      <c r="C509">
        <v>2</v>
      </c>
      <c r="D509" t="s">
        <v>17</v>
      </c>
      <c r="E509" s="2">
        <v>8670000</v>
      </c>
      <c r="F509" s="2">
        <v>725370.66</v>
      </c>
      <c r="G509" s="2">
        <v>387377.84</v>
      </c>
      <c r="H509" s="2">
        <v>296459.94</v>
      </c>
      <c r="I509" s="2">
        <v>25795.99</v>
      </c>
      <c r="J509">
        <v>46</v>
      </c>
      <c r="K509">
        <v>4</v>
      </c>
      <c r="L509">
        <v>67</v>
      </c>
      <c r="M509">
        <v>4</v>
      </c>
      <c r="N509">
        <v>17</v>
      </c>
      <c r="O509" s="2">
        <v>110308.01</v>
      </c>
      <c r="P509" s="2">
        <v>120.77</v>
      </c>
      <c r="Q509" s="2">
        <v>119.12</v>
      </c>
    </row>
    <row r="510" spans="1:17" x14ac:dyDescent="0.45">
      <c r="A510" s="1">
        <v>44562</v>
      </c>
      <c r="B510">
        <v>2022</v>
      </c>
      <c r="C510">
        <v>4</v>
      </c>
      <c r="D510" t="s">
        <v>28</v>
      </c>
      <c r="E510" s="2">
        <v>22770000</v>
      </c>
      <c r="F510" s="2">
        <v>1835147.77</v>
      </c>
      <c r="G510" s="2">
        <v>1565826.78</v>
      </c>
      <c r="H510" s="2">
        <v>371775.64</v>
      </c>
      <c r="I510" s="2">
        <v>18492.689999999999</v>
      </c>
      <c r="J510">
        <v>176</v>
      </c>
      <c r="K510">
        <v>10</v>
      </c>
      <c r="L510">
        <v>577</v>
      </c>
      <c r="M510">
        <v>9</v>
      </c>
      <c r="N510">
        <v>30</v>
      </c>
      <c r="O510" s="2">
        <v>441327.15</v>
      </c>
      <c r="P510" s="2">
        <v>112.02</v>
      </c>
      <c r="Q510" s="2">
        <v>102.96</v>
      </c>
    </row>
    <row r="511" spans="1:17" x14ac:dyDescent="0.45">
      <c r="A511" s="1">
        <v>45870</v>
      </c>
      <c r="B511">
        <v>2025</v>
      </c>
      <c r="C511">
        <v>11</v>
      </c>
      <c r="D511" t="s">
        <v>18</v>
      </c>
      <c r="E511" s="2">
        <v>4016000</v>
      </c>
      <c r="F511" s="2">
        <v>346457.38</v>
      </c>
      <c r="G511" s="2">
        <v>296291.33</v>
      </c>
      <c r="H511" s="2">
        <v>46188.39</v>
      </c>
      <c r="I511" s="2">
        <v>3076.82</v>
      </c>
      <c r="J511">
        <v>29</v>
      </c>
      <c r="K511">
        <v>5</v>
      </c>
      <c r="L511">
        <v>0</v>
      </c>
      <c r="M511">
        <v>4</v>
      </c>
      <c r="N511">
        <v>17</v>
      </c>
      <c r="O511" s="2">
        <v>36104.58</v>
      </c>
      <c r="P511" s="2">
        <v>120.44</v>
      </c>
      <c r="Q511" s="2">
        <v>117.53</v>
      </c>
    </row>
    <row r="512" spans="1:17" x14ac:dyDescent="0.45">
      <c r="A512" s="1">
        <v>44593</v>
      </c>
      <c r="B512">
        <v>2022</v>
      </c>
      <c r="C512">
        <v>5</v>
      </c>
      <c r="D512" t="s">
        <v>17</v>
      </c>
      <c r="E512" s="2">
        <v>7555000</v>
      </c>
      <c r="F512" s="2">
        <v>561052.18000000005</v>
      </c>
      <c r="G512" s="2">
        <v>328737.86</v>
      </c>
      <c r="H512" s="2">
        <v>214478.73</v>
      </c>
      <c r="I512" s="2">
        <v>14396.54</v>
      </c>
      <c r="J512">
        <v>43</v>
      </c>
      <c r="K512">
        <v>5</v>
      </c>
      <c r="L512">
        <v>54</v>
      </c>
      <c r="M512">
        <v>4</v>
      </c>
      <c r="N512">
        <v>12</v>
      </c>
      <c r="O512" s="2"/>
      <c r="P512" s="2">
        <v>111.33</v>
      </c>
      <c r="Q512" s="2">
        <v>104.35</v>
      </c>
    </row>
    <row r="513" spans="1:17" x14ac:dyDescent="0.45">
      <c r="A513" s="1">
        <v>45778</v>
      </c>
      <c r="B513">
        <v>2025</v>
      </c>
      <c r="C513">
        <v>8</v>
      </c>
      <c r="D513" t="s">
        <v>25</v>
      </c>
      <c r="E513" s="2">
        <v>4820000</v>
      </c>
      <c r="F513" s="2">
        <v>403761.09</v>
      </c>
      <c r="G513" s="2">
        <v>327567.95</v>
      </c>
      <c r="H513" s="2">
        <v>68108.66</v>
      </c>
      <c r="I513" s="2">
        <v>2972.73</v>
      </c>
      <c r="J513">
        <v>34</v>
      </c>
      <c r="K513">
        <v>3</v>
      </c>
      <c r="L513">
        <v>43</v>
      </c>
      <c r="M513">
        <v>0</v>
      </c>
      <c r="N513">
        <v>10</v>
      </c>
      <c r="O513" s="2">
        <v>6111.54</v>
      </c>
      <c r="P513" s="2">
        <v>114.11</v>
      </c>
      <c r="Q513" s="2">
        <v>116.22</v>
      </c>
    </row>
    <row r="514" spans="1:17" x14ac:dyDescent="0.45">
      <c r="A514" s="1">
        <v>44986</v>
      </c>
      <c r="B514">
        <v>2023</v>
      </c>
      <c r="C514">
        <v>6</v>
      </c>
      <c r="D514" t="s">
        <v>27</v>
      </c>
      <c r="E514" s="2">
        <v>26781000</v>
      </c>
      <c r="F514" s="2">
        <v>2208167.06</v>
      </c>
      <c r="G514" s="2">
        <v>1737134.62</v>
      </c>
      <c r="H514" s="2">
        <v>420468.87</v>
      </c>
      <c r="I514" s="2">
        <v>38704.089999999997</v>
      </c>
      <c r="J514">
        <v>212</v>
      </c>
      <c r="K514">
        <v>16</v>
      </c>
      <c r="L514">
        <v>758</v>
      </c>
      <c r="M514">
        <v>9</v>
      </c>
      <c r="N514">
        <v>33</v>
      </c>
      <c r="O514" s="2">
        <v>695425.28</v>
      </c>
      <c r="P514" s="2">
        <v>108.06</v>
      </c>
      <c r="Q514" s="2">
        <v>108.81</v>
      </c>
    </row>
    <row r="515" spans="1:17" x14ac:dyDescent="0.45">
      <c r="A515" s="1">
        <v>44317</v>
      </c>
      <c r="B515">
        <v>2021</v>
      </c>
      <c r="C515">
        <v>8</v>
      </c>
      <c r="D515" t="s">
        <v>24</v>
      </c>
      <c r="E515" s="2">
        <v>13500000</v>
      </c>
      <c r="F515" s="2">
        <v>1115555.1299999999</v>
      </c>
      <c r="G515" s="2">
        <v>500961.73</v>
      </c>
      <c r="H515" s="2">
        <v>524845.75</v>
      </c>
      <c r="I515" s="2">
        <v>69335.47</v>
      </c>
      <c r="J515">
        <v>75</v>
      </c>
      <c r="K515">
        <v>7</v>
      </c>
      <c r="L515">
        <v>110</v>
      </c>
      <c r="M515">
        <v>4</v>
      </c>
      <c r="N515">
        <v>20</v>
      </c>
      <c r="O515" s="2">
        <v>158393.09</v>
      </c>
      <c r="P515" s="2">
        <v>102.91</v>
      </c>
      <c r="Q515" s="2">
        <v>101.43</v>
      </c>
    </row>
    <row r="516" spans="1:17" x14ac:dyDescent="0.45">
      <c r="A516" s="1">
        <v>45231</v>
      </c>
      <c r="B516">
        <v>2024</v>
      </c>
      <c r="C516">
        <v>2</v>
      </c>
      <c r="D516" t="s">
        <v>28</v>
      </c>
      <c r="E516" s="2">
        <v>24392000</v>
      </c>
      <c r="F516" s="2">
        <v>2226058.23</v>
      </c>
      <c r="G516" s="2">
        <v>1625756.56</v>
      </c>
      <c r="H516" s="2">
        <v>450124.15</v>
      </c>
      <c r="I516" s="2">
        <v>290771.3</v>
      </c>
      <c r="J516">
        <v>181</v>
      </c>
      <c r="K516">
        <v>14</v>
      </c>
      <c r="L516">
        <v>677</v>
      </c>
      <c r="M516">
        <v>7</v>
      </c>
      <c r="N516">
        <v>30</v>
      </c>
      <c r="O516" s="2">
        <v>532698.46</v>
      </c>
      <c r="P516" s="2">
        <v>103.73</v>
      </c>
      <c r="Q516" s="2">
        <v>110.57</v>
      </c>
    </row>
    <row r="517" spans="1:17" x14ac:dyDescent="0.45">
      <c r="A517" s="1">
        <v>44440</v>
      </c>
      <c r="B517">
        <v>2021</v>
      </c>
      <c r="C517">
        <v>12</v>
      </c>
      <c r="D517" t="s">
        <v>25</v>
      </c>
      <c r="E517" s="2">
        <v>4200000</v>
      </c>
      <c r="F517" s="2">
        <v>344541.59</v>
      </c>
      <c r="G517" s="2">
        <v>267208.81</v>
      </c>
      <c r="H517" s="2">
        <v>66907.570000000007</v>
      </c>
      <c r="I517" s="2">
        <v>6932.42</v>
      </c>
      <c r="J517">
        <v>31</v>
      </c>
      <c r="K517">
        <v>5</v>
      </c>
      <c r="L517">
        <v>22</v>
      </c>
      <c r="M517">
        <v>1</v>
      </c>
      <c r="N517">
        <v>7</v>
      </c>
      <c r="O517" s="2">
        <v>9833.0400000000009</v>
      </c>
      <c r="P517" s="2">
        <v>108.34</v>
      </c>
      <c r="Q517" s="2">
        <v>102.4</v>
      </c>
    </row>
    <row r="518" spans="1:17" x14ac:dyDescent="0.45">
      <c r="A518" s="1">
        <v>45170</v>
      </c>
      <c r="B518">
        <v>2023</v>
      </c>
      <c r="C518">
        <v>12</v>
      </c>
      <c r="D518" t="s">
        <v>19</v>
      </c>
      <c r="E518" s="2">
        <v>5142000</v>
      </c>
      <c r="F518" s="2">
        <v>451872.78</v>
      </c>
      <c r="G518" s="2">
        <v>389575.01</v>
      </c>
      <c r="H518" s="2">
        <v>67673.25</v>
      </c>
      <c r="I518" s="2">
        <v>3481.75</v>
      </c>
      <c r="J518">
        <v>39</v>
      </c>
      <c r="K518">
        <v>4</v>
      </c>
      <c r="L518">
        <v>58</v>
      </c>
      <c r="M518">
        <v>2</v>
      </c>
      <c r="N518">
        <v>16</v>
      </c>
      <c r="O518" s="2">
        <v>27047.82</v>
      </c>
      <c r="P518" s="2">
        <v>102.75</v>
      </c>
      <c r="Q518" s="2">
        <v>109.59</v>
      </c>
    </row>
    <row r="519" spans="1:17" x14ac:dyDescent="0.45">
      <c r="A519" s="1">
        <v>45292</v>
      </c>
      <c r="B519">
        <v>2024</v>
      </c>
      <c r="C519">
        <v>4</v>
      </c>
      <c r="D519" t="s">
        <v>22</v>
      </c>
      <c r="E519" s="2">
        <v>6874000</v>
      </c>
      <c r="F519" s="2">
        <v>534775.79</v>
      </c>
      <c r="G519" s="2">
        <v>297468.59999999998</v>
      </c>
      <c r="H519" s="2">
        <v>210201.49</v>
      </c>
      <c r="I519" s="2">
        <v>27365.01</v>
      </c>
      <c r="J519">
        <v>32</v>
      </c>
      <c r="K519">
        <v>1</v>
      </c>
      <c r="L519">
        <v>36</v>
      </c>
      <c r="M519">
        <v>3</v>
      </c>
      <c r="N519">
        <v>13</v>
      </c>
      <c r="O519" s="2">
        <v>36034.83</v>
      </c>
      <c r="P519" s="2">
        <v>99.87</v>
      </c>
      <c r="Q519" s="2">
        <v>111.03</v>
      </c>
    </row>
    <row r="520" spans="1:17" x14ac:dyDescent="0.45">
      <c r="A520" s="1">
        <v>45748</v>
      </c>
      <c r="B520">
        <v>2025</v>
      </c>
      <c r="C520">
        <v>7</v>
      </c>
      <c r="D520" t="s">
        <v>22</v>
      </c>
      <c r="E520" s="2">
        <v>7115000</v>
      </c>
      <c r="F520" s="2">
        <v>640305.96</v>
      </c>
      <c r="G520" s="2">
        <v>323165.46000000002</v>
      </c>
      <c r="H520" s="2">
        <v>264490.81</v>
      </c>
      <c r="I520" s="2">
        <v>39724.550000000003</v>
      </c>
      <c r="J520">
        <v>31</v>
      </c>
      <c r="K520">
        <v>3</v>
      </c>
      <c r="L520">
        <v>53</v>
      </c>
      <c r="M520">
        <v>2</v>
      </c>
      <c r="N520">
        <v>15</v>
      </c>
      <c r="O520" s="2">
        <v>30716.38</v>
      </c>
      <c r="P520" s="2">
        <v>117.47</v>
      </c>
      <c r="Q520" s="2">
        <v>115.97</v>
      </c>
    </row>
    <row r="521" spans="1:17" x14ac:dyDescent="0.45">
      <c r="A521" s="1">
        <v>44652</v>
      </c>
      <c r="B521">
        <v>2022</v>
      </c>
      <c r="C521">
        <v>7</v>
      </c>
      <c r="D521" t="s">
        <v>17</v>
      </c>
      <c r="E521" s="2">
        <v>7555000</v>
      </c>
      <c r="F521" s="2">
        <v>612110.09</v>
      </c>
      <c r="G521" s="2">
        <v>333201.84000000003</v>
      </c>
      <c r="H521" s="2">
        <v>258816.8</v>
      </c>
      <c r="I521" s="2">
        <v>35614.69</v>
      </c>
      <c r="J521">
        <v>45</v>
      </c>
      <c r="K521">
        <v>4</v>
      </c>
      <c r="L521">
        <v>70</v>
      </c>
      <c r="M521">
        <v>0</v>
      </c>
      <c r="N521">
        <v>14</v>
      </c>
      <c r="O521" s="2">
        <v>15972.9</v>
      </c>
      <c r="P521" s="2">
        <v>107.25</v>
      </c>
      <c r="Q521" s="2">
        <v>105.23</v>
      </c>
    </row>
    <row r="522" spans="1:17" x14ac:dyDescent="0.45">
      <c r="A522" s="1">
        <v>45536</v>
      </c>
      <c r="B522">
        <v>2024</v>
      </c>
      <c r="C522">
        <v>12</v>
      </c>
      <c r="D522" t="s">
        <v>18</v>
      </c>
      <c r="E522" s="2">
        <v>3881000</v>
      </c>
      <c r="F522" s="2">
        <v>349076.52</v>
      </c>
      <c r="G522" s="2">
        <v>297399.94</v>
      </c>
      <c r="H522" s="2">
        <v>45460.21</v>
      </c>
      <c r="I522" s="2">
        <v>4811.68</v>
      </c>
      <c r="J522">
        <v>28</v>
      </c>
      <c r="K522">
        <v>1</v>
      </c>
      <c r="L522">
        <v>63</v>
      </c>
      <c r="M522">
        <v>0</v>
      </c>
      <c r="N522">
        <v>11</v>
      </c>
      <c r="O522" s="2">
        <v>5602.4</v>
      </c>
      <c r="P522" s="2">
        <v>106.29</v>
      </c>
      <c r="Q522" s="2">
        <v>114.48</v>
      </c>
    </row>
    <row r="523" spans="1:17" x14ac:dyDescent="0.45">
      <c r="A523" s="1">
        <v>45962</v>
      </c>
      <c r="B523">
        <v>2026</v>
      </c>
      <c r="C523">
        <v>2</v>
      </c>
      <c r="D523" t="s">
        <v>28</v>
      </c>
      <c r="E523" s="2">
        <v>26129000</v>
      </c>
      <c r="F523" s="2">
        <v>2420633.3199999998</v>
      </c>
      <c r="G523" s="2">
        <v>1838205.56</v>
      </c>
      <c r="H523" s="2">
        <v>517916.65</v>
      </c>
      <c r="I523" s="2">
        <v>33667.64</v>
      </c>
      <c r="J523">
        <v>184</v>
      </c>
      <c r="K523">
        <v>10</v>
      </c>
      <c r="L523">
        <v>835</v>
      </c>
      <c r="M523">
        <v>6</v>
      </c>
      <c r="N523">
        <v>31</v>
      </c>
      <c r="O523" s="2">
        <v>302136.09000000003</v>
      </c>
      <c r="P523" s="2">
        <v>118.61</v>
      </c>
      <c r="Q523" s="2">
        <v>118.45</v>
      </c>
    </row>
    <row r="524" spans="1:17" x14ac:dyDescent="0.45">
      <c r="A524" s="1">
        <v>44470</v>
      </c>
      <c r="B524">
        <v>2022</v>
      </c>
      <c r="C524">
        <v>1</v>
      </c>
      <c r="D524" t="s">
        <v>20</v>
      </c>
      <c r="E524" s="2">
        <v>13972000</v>
      </c>
      <c r="F524" s="2">
        <v>1247304.26</v>
      </c>
      <c r="G524" s="2">
        <v>594112.86</v>
      </c>
      <c r="H524" s="2">
        <v>652290.44999999995</v>
      </c>
      <c r="I524" s="2">
        <v>41946.55</v>
      </c>
      <c r="J524">
        <v>80</v>
      </c>
      <c r="K524">
        <v>6</v>
      </c>
      <c r="L524">
        <v>123</v>
      </c>
      <c r="M524">
        <v>7</v>
      </c>
      <c r="N524">
        <v>25</v>
      </c>
      <c r="O524" s="2">
        <v>195338.74</v>
      </c>
      <c r="P524" s="2">
        <v>109.73</v>
      </c>
      <c r="Q524" s="2">
        <v>102.39</v>
      </c>
    </row>
    <row r="525" spans="1:17" x14ac:dyDescent="0.45">
      <c r="A525" s="1">
        <v>44835</v>
      </c>
      <c r="B525">
        <v>2023</v>
      </c>
      <c r="C525">
        <v>1</v>
      </c>
      <c r="D525" t="s">
        <v>20</v>
      </c>
      <c r="E525" s="2">
        <v>14462000</v>
      </c>
      <c r="F525" s="2">
        <v>1445655.28</v>
      </c>
      <c r="G525" s="2">
        <v>611709.42000000004</v>
      </c>
      <c r="H525" s="2">
        <v>565244.41</v>
      </c>
      <c r="I525" s="2">
        <v>254721.23</v>
      </c>
      <c r="J525">
        <v>82</v>
      </c>
      <c r="K525">
        <v>7</v>
      </c>
      <c r="L525">
        <v>105</v>
      </c>
      <c r="M525">
        <v>3</v>
      </c>
      <c r="N525">
        <v>22</v>
      </c>
      <c r="O525" s="2">
        <v>159213.54</v>
      </c>
      <c r="P525" s="2">
        <v>108.55</v>
      </c>
      <c r="Q525" s="2">
        <v>105.81</v>
      </c>
    </row>
    <row r="526" spans="1:17" x14ac:dyDescent="0.45">
      <c r="A526" s="1">
        <v>45748</v>
      </c>
      <c r="B526">
        <v>2025</v>
      </c>
      <c r="C526">
        <v>7</v>
      </c>
      <c r="D526" t="s">
        <v>28</v>
      </c>
      <c r="E526" s="2">
        <v>25246000</v>
      </c>
      <c r="F526" s="2">
        <v>2229628.98</v>
      </c>
      <c r="G526" s="2">
        <v>1752132.85</v>
      </c>
      <c r="H526" s="2">
        <v>326682.59000000003</v>
      </c>
      <c r="I526" s="2">
        <v>37618.36</v>
      </c>
      <c r="J526">
        <v>187</v>
      </c>
      <c r="K526">
        <v>12</v>
      </c>
      <c r="L526">
        <v>856</v>
      </c>
      <c r="M526">
        <v>6</v>
      </c>
      <c r="N526">
        <v>31</v>
      </c>
      <c r="O526" s="2">
        <v>386060.01</v>
      </c>
      <c r="P526" s="2">
        <v>111.96</v>
      </c>
      <c r="Q526" s="2">
        <v>116.76</v>
      </c>
    </row>
    <row r="527" spans="1:17" x14ac:dyDescent="0.45">
      <c r="A527" s="1">
        <v>45292</v>
      </c>
      <c r="B527">
        <v>2024</v>
      </c>
      <c r="C527">
        <v>4</v>
      </c>
      <c r="D527" t="s">
        <v>19</v>
      </c>
      <c r="E527" s="2">
        <v>5322000</v>
      </c>
      <c r="F527" s="2">
        <v>460847.16</v>
      </c>
      <c r="G527" s="2">
        <v>397500.8</v>
      </c>
      <c r="H527" s="2">
        <v>60034.51</v>
      </c>
      <c r="I527" s="2">
        <v>4472.53</v>
      </c>
      <c r="J527">
        <v>39</v>
      </c>
      <c r="K527">
        <v>4</v>
      </c>
      <c r="L527">
        <v>78</v>
      </c>
      <c r="M527">
        <v>4</v>
      </c>
      <c r="N527">
        <v>15</v>
      </c>
      <c r="O527" s="2">
        <v>55648.85</v>
      </c>
      <c r="P527" s="2">
        <v>101.58</v>
      </c>
      <c r="Q527" s="2">
        <v>111.3</v>
      </c>
    </row>
    <row r="528" spans="1:17" x14ac:dyDescent="0.45">
      <c r="A528" s="1">
        <v>45139</v>
      </c>
      <c r="B528">
        <v>2023</v>
      </c>
      <c r="C528">
        <v>11</v>
      </c>
      <c r="D528" t="s">
        <v>23</v>
      </c>
      <c r="E528" s="2">
        <v>20353000</v>
      </c>
      <c r="F528" s="2">
        <v>1445480.11</v>
      </c>
      <c r="G528" s="2">
        <v>773955.25</v>
      </c>
      <c r="H528" s="2">
        <v>681451.99</v>
      </c>
      <c r="I528" s="2">
        <v>81264.929999999993</v>
      </c>
      <c r="J528">
        <v>96</v>
      </c>
      <c r="K528">
        <v>5</v>
      </c>
      <c r="L528">
        <v>587</v>
      </c>
      <c r="M528">
        <v>5</v>
      </c>
      <c r="N528">
        <v>31</v>
      </c>
      <c r="O528" s="2">
        <v>234089.88</v>
      </c>
      <c r="P528" s="2">
        <v>100.08</v>
      </c>
      <c r="Q528" s="2">
        <v>109.62</v>
      </c>
    </row>
    <row r="529" spans="1:17" x14ac:dyDescent="0.45">
      <c r="A529" s="1">
        <v>45170</v>
      </c>
      <c r="B529">
        <v>2023</v>
      </c>
      <c r="C529">
        <v>12</v>
      </c>
      <c r="D529" t="s">
        <v>26</v>
      </c>
      <c r="E529" s="2">
        <v>8570000</v>
      </c>
      <c r="F529" s="2">
        <v>691457.75</v>
      </c>
      <c r="G529" s="2">
        <v>456638.43</v>
      </c>
      <c r="H529" s="2">
        <v>214280.92</v>
      </c>
      <c r="I529" s="2">
        <v>22636.28</v>
      </c>
      <c r="J529">
        <v>65</v>
      </c>
      <c r="K529">
        <v>6</v>
      </c>
      <c r="L529">
        <v>45</v>
      </c>
      <c r="M529">
        <v>1</v>
      </c>
      <c r="N529">
        <v>15</v>
      </c>
      <c r="O529" s="2">
        <v>34843.279999999999</v>
      </c>
      <c r="P529" s="2">
        <v>102.66</v>
      </c>
      <c r="Q529" s="2">
        <v>109.58</v>
      </c>
    </row>
    <row r="530" spans="1:17" x14ac:dyDescent="0.45">
      <c r="A530" s="1">
        <v>44317</v>
      </c>
      <c r="B530">
        <v>2021</v>
      </c>
      <c r="C530">
        <v>8</v>
      </c>
      <c r="D530" t="s">
        <v>22</v>
      </c>
      <c r="E530" s="2">
        <v>6200000</v>
      </c>
      <c r="F530" s="2">
        <v>471657.61</v>
      </c>
      <c r="G530" s="2">
        <v>248037.72</v>
      </c>
      <c r="H530" s="2">
        <v>202386.48</v>
      </c>
      <c r="I530" s="2">
        <v>36996.04</v>
      </c>
      <c r="J530">
        <v>30</v>
      </c>
      <c r="K530">
        <v>0</v>
      </c>
      <c r="L530">
        <v>13</v>
      </c>
      <c r="M530">
        <v>2</v>
      </c>
      <c r="N530">
        <v>12</v>
      </c>
      <c r="O530" s="2">
        <v>29560.12</v>
      </c>
      <c r="P530" s="2">
        <v>104.18</v>
      </c>
      <c r="Q530" s="2">
        <v>100.77</v>
      </c>
    </row>
    <row r="531" spans="1:17" x14ac:dyDescent="0.45">
      <c r="A531" s="1">
        <v>45078</v>
      </c>
      <c r="B531">
        <v>2023</v>
      </c>
      <c r="C531">
        <v>9</v>
      </c>
      <c r="D531" t="s">
        <v>18</v>
      </c>
      <c r="E531" s="2">
        <v>3749000</v>
      </c>
      <c r="F531" s="2">
        <v>338997.75</v>
      </c>
      <c r="G531" s="2">
        <v>286049.49</v>
      </c>
      <c r="H531" s="2">
        <v>42099.24</v>
      </c>
      <c r="I531" s="2">
        <v>6253.18</v>
      </c>
      <c r="J531">
        <v>29</v>
      </c>
      <c r="K531">
        <v>2</v>
      </c>
      <c r="L531">
        <v>30</v>
      </c>
      <c r="M531">
        <v>2</v>
      </c>
      <c r="N531">
        <v>3</v>
      </c>
      <c r="O531" s="2">
        <v>14154.46</v>
      </c>
      <c r="P531" s="2">
        <v>101.32</v>
      </c>
      <c r="Q531" s="2">
        <v>108.73</v>
      </c>
    </row>
    <row r="532" spans="1:17" x14ac:dyDescent="0.45">
      <c r="A532" s="1">
        <v>45839</v>
      </c>
      <c r="B532">
        <v>2025</v>
      </c>
      <c r="C532">
        <v>10</v>
      </c>
      <c r="D532" t="s">
        <v>28</v>
      </c>
      <c r="E532" s="2">
        <v>25246000</v>
      </c>
      <c r="F532" s="2">
        <v>2254536.87</v>
      </c>
      <c r="G532" s="2">
        <v>1830179.63</v>
      </c>
      <c r="H532" s="2">
        <v>389855.65</v>
      </c>
      <c r="I532" s="2">
        <v>71586.45</v>
      </c>
      <c r="J532">
        <v>188</v>
      </c>
      <c r="K532">
        <v>16</v>
      </c>
      <c r="L532">
        <v>952</v>
      </c>
      <c r="M532">
        <v>7</v>
      </c>
      <c r="N532">
        <v>36</v>
      </c>
      <c r="O532" s="2">
        <v>566486.4</v>
      </c>
      <c r="P532" s="2">
        <v>115.66</v>
      </c>
      <c r="Q532" s="2">
        <v>117.57</v>
      </c>
    </row>
    <row r="533" spans="1:17" x14ac:dyDescent="0.45">
      <c r="A533" s="1">
        <v>44562</v>
      </c>
      <c r="B533">
        <v>2022</v>
      </c>
      <c r="C533">
        <v>4</v>
      </c>
      <c r="D533" t="s">
        <v>18</v>
      </c>
      <c r="E533" s="2">
        <v>3622000</v>
      </c>
      <c r="F533" s="2">
        <v>297135.25</v>
      </c>
      <c r="G533" s="2">
        <v>253950.17</v>
      </c>
      <c r="H533" s="2">
        <v>39133.06</v>
      </c>
      <c r="I533" s="2">
        <v>2919.94</v>
      </c>
      <c r="J533">
        <v>27</v>
      </c>
      <c r="K533">
        <v>0</v>
      </c>
      <c r="L533">
        <v>21</v>
      </c>
      <c r="M533">
        <v>1</v>
      </c>
      <c r="N533">
        <v>10</v>
      </c>
      <c r="O533" s="2">
        <v>12918.83</v>
      </c>
      <c r="P533" s="2">
        <v>111.96</v>
      </c>
      <c r="Q533" s="2">
        <v>102.96</v>
      </c>
    </row>
    <row r="534" spans="1:17" x14ac:dyDescent="0.45">
      <c r="A534" s="1">
        <v>44652</v>
      </c>
      <c r="B534">
        <v>2022</v>
      </c>
      <c r="C534">
        <v>7</v>
      </c>
      <c r="D534" t="s">
        <v>28</v>
      </c>
      <c r="E534" s="2">
        <v>22770000</v>
      </c>
      <c r="F534" s="2">
        <v>1881956.21</v>
      </c>
      <c r="G534" s="2">
        <v>1485322.06</v>
      </c>
      <c r="H534" s="2">
        <v>394308.6</v>
      </c>
      <c r="I534" s="2">
        <v>35315.730000000003</v>
      </c>
      <c r="J534">
        <v>175</v>
      </c>
      <c r="K534">
        <v>14</v>
      </c>
      <c r="L534">
        <v>555</v>
      </c>
      <c r="M534">
        <v>7</v>
      </c>
      <c r="N534">
        <v>22</v>
      </c>
      <c r="O534" s="2">
        <v>332553.53999999998</v>
      </c>
      <c r="P534" s="2">
        <v>110.02</v>
      </c>
      <c r="Q534" s="2">
        <v>105.07</v>
      </c>
    </row>
    <row r="535" spans="1:17" x14ac:dyDescent="0.45">
      <c r="A535" s="1">
        <v>44501</v>
      </c>
      <c r="B535">
        <v>2022</v>
      </c>
      <c r="C535">
        <v>2</v>
      </c>
      <c r="D535" t="s">
        <v>17</v>
      </c>
      <c r="E535" s="2">
        <v>7555000</v>
      </c>
      <c r="F535" s="2">
        <v>604843.38</v>
      </c>
      <c r="G535" s="2">
        <v>317773.11</v>
      </c>
      <c r="H535" s="2">
        <v>279266.75</v>
      </c>
      <c r="I535" s="2">
        <v>19064.310000000001</v>
      </c>
      <c r="J535">
        <v>43</v>
      </c>
      <c r="K535">
        <v>2</v>
      </c>
      <c r="L535">
        <v>18</v>
      </c>
      <c r="M535">
        <v>3</v>
      </c>
      <c r="N535">
        <v>18</v>
      </c>
      <c r="O535" s="2">
        <v>79068.570000000007</v>
      </c>
      <c r="P535" s="2">
        <v>108.41</v>
      </c>
      <c r="Q535" s="2">
        <v>102.55</v>
      </c>
    </row>
    <row r="536" spans="1:17" x14ac:dyDescent="0.45">
      <c r="A536" s="1">
        <v>44256</v>
      </c>
      <c r="B536">
        <v>2021</v>
      </c>
      <c r="C536">
        <v>6</v>
      </c>
      <c r="D536" t="s">
        <v>22</v>
      </c>
      <c r="E536" s="2">
        <v>6200000</v>
      </c>
      <c r="F536" s="2">
        <v>514824.89</v>
      </c>
      <c r="G536" s="2">
        <v>262756.33</v>
      </c>
      <c r="H536" s="2">
        <v>213031.19</v>
      </c>
      <c r="I536" s="2">
        <v>37075.25</v>
      </c>
      <c r="J536">
        <v>31</v>
      </c>
      <c r="K536">
        <v>1</v>
      </c>
      <c r="L536">
        <v>53</v>
      </c>
      <c r="M536">
        <v>2</v>
      </c>
      <c r="N536">
        <v>13</v>
      </c>
      <c r="O536" s="2">
        <v>34607.43</v>
      </c>
      <c r="P536" s="2">
        <v>101.26</v>
      </c>
      <c r="Q536" s="2">
        <v>101.11</v>
      </c>
    </row>
    <row r="537" spans="1:17" x14ac:dyDescent="0.45">
      <c r="A537" s="1">
        <v>45017</v>
      </c>
      <c r="B537">
        <v>2023</v>
      </c>
      <c r="C537">
        <v>7</v>
      </c>
      <c r="D537" t="s">
        <v>29</v>
      </c>
      <c r="E537" s="2">
        <v>23567000</v>
      </c>
      <c r="F537" s="2">
        <v>2005245.74</v>
      </c>
      <c r="G537" s="2">
        <v>1584375.01</v>
      </c>
      <c r="H537" s="2">
        <v>374396.21</v>
      </c>
      <c r="I537" s="2">
        <v>64691.66</v>
      </c>
      <c r="J537">
        <v>179</v>
      </c>
      <c r="K537">
        <v>14</v>
      </c>
      <c r="L537">
        <v>654</v>
      </c>
      <c r="M537">
        <v>10</v>
      </c>
      <c r="N537">
        <v>32</v>
      </c>
      <c r="O537" s="2">
        <v>612617.06999999995</v>
      </c>
      <c r="P537" s="2">
        <v>102.51</v>
      </c>
      <c r="Q537" s="2">
        <v>108.37</v>
      </c>
    </row>
    <row r="538" spans="1:17" x14ac:dyDescent="0.45">
      <c r="A538" s="1">
        <v>44866</v>
      </c>
      <c r="B538">
        <v>2023</v>
      </c>
      <c r="C538">
        <v>2</v>
      </c>
      <c r="D538" t="s">
        <v>22</v>
      </c>
      <c r="E538" s="2">
        <v>6642000</v>
      </c>
      <c r="F538" s="2">
        <v>709167.84</v>
      </c>
      <c r="G538" s="2">
        <v>276035.15000000002</v>
      </c>
      <c r="H538" s="2">
        <v>254077.67</v>
      </c>
      <c r="I538" s="2">
        <v>170246.28</v>
      </c>
      <c r="J538">
        <v>31</v>
      </c>
      <c r="K538">
        <v>1</v>
      </c>
      <c r="L538">
        <v>32</v>
      </c>
      <c r="M538">
        <v>3</v>
      </c>
      <c r="N538">
        <v>17</v>
      </c>
      <c r="O538" s="2">
        <v>50434.2</v>
      </c>
      <c r="P538" s="2">
        <v>109.72</v>
      </c>
      <c r="Q538" s="2">
        <v>107.45</v>
      </c>
    </row>
    <row r="539" spans="1:17" x14ac:dyDescent="0.45">
      <c r="A539" s="1">
        <v>45505</v>
      </c>
      <c r="B539">
        <v>2024</v>
      </c>
      <c r="C539">
        <v>11</v>
      </c>
      <c r="D539" t="s">
        <v>21</v>
      </c>
      <c r="E539" s="2">
        <v>8870000</v>
      </c>
      <c r="F539" s="2">
        <v>774363.81</v>
      </c>
      <c r="G539" s="2">
        <v>479320.97</v>
      </c>
      <c r="H539" s="2">
        <v>194970.17</v>
      </c>
      <c r="I539" s="2">
        <v>110510.28</v>
      </c>
      <c r="J539">
        <v>66</v>
      </c>
      <c r="K539">
        <v>3</v>
      </c>
      <c r="L539">
        <v>61</v>
      </c>
      <c r="M539">
        <v>3</v>
      </c>
      <c r="N539">
        <v>9</v>
      </c>
      <c r="O539" s="2">
        <v>63361.919999999998</v>
      </c>
      <c r="P539" s="2">
        <v>102.39</v>
      </c>
      <c r="Q539" s="2">
        <v>113.46</v>
      </c>
    </row>
    <row r="540" spans="1:17" x14ac:dyDescent="0.45">
      <c r="A540" s="1">
        <v>44470</v>
      </c>
      <c r="B540">
        <v>2022</v>
      </c>
      <c r="C540">
        <v>1</v>
      </c>
      <c r="D540" t="s">
        <v>18</v>
      </c>
      <c r="E540" s="2">
        <v>3622000</v>
      </c>
      <c r="F540" s="2">
        <v>310946.43</v>
      </c>
      <c r="G540" s="2">
        <v>255229.66</v>
      </c>
      <c r="H540" s="2">
        <v>43931.56</v>
      </c>
      <c r="I540" s="2">
        <v>6975.74</v>
      </c>
      <c r="J540">
        <v>27</v>
      </c>
      <c r="K540">
        <v>2</v>
      </c>
      <c r="L540">
        <v>28</v>
      </c>
      <c r="M540">
        <v>1</v>
      </c>
      <c r="N540">
        <v>6</v>
      </c>
      <c r="O540" s="2">
        <v>8715.27</v>
      </c>
      <c r="P540" s="2">
        <v>109.64</v>
      </c>
      <c r="Q540" s="2">
        <v>102.09</v>
      </c>
    </row>
    <row r="541" spans="1:17" x14ac:dyDescent="0.45">
      <c r="A541" s="1">
        <v>45931</v>
      </c>
      <c r="B541">
        <v>2026</v>
      </c>
      <c r="C541">
        <v>1</v>
      </c>
      <c r="D541" t="s">
        <v>27</v>
      </c>
      <c r="E541" s="2">
        <v>29692000</v>
      </c>
      <c r="F541" s="2">
        <v>2608336.79</v>
      </c>
      <c r="G541" s="2">
        <v>2036564.29</v>
      </c>
      <c r="H541" s="2">
        <v>444554.65</v>
      </c>
      <c r="I541" s="2">
        <v>27817.89</v>
      </c>
      <c r="J541">
        <v>223</v>
      </c>
      <c r="K541">
        <v>12</v>
      </c>
      <c r="L541">
        <v>960</v>
      </c>
      <c r="M541">
        <v>9</v>
      </c>
      <c r="N541">
        <v>39</v>
      </c>
      <c r="O541" s="2">
        <v>724632.19</v>
      </c>
      <c r="P541" s="2">
        <v>116.15</v>
      </c>
      <c r="Q541" s="2">
        <v>118.64</v>
      </c>
    </row>
    <row r="542" spans="1:17" x14ac:dyDescent="0.45">
      <c r="A542" s="1">
        <v>45108</v>
      </c>
      <c r="B542">
        <v>2023</v>
      </c>
      <c r="C542">
        <v>10</v>
      </c>
      <c r="D542" t="s">
        <v>17</v>
      </c>
      <c r="E542" s="2">
        <v>7820000</v>
      </c>
      <c r="F542" s="2">
        <v>585342.53</v>
      </c>
      <c r="G542" s="2">
        <v>320704.58</v>
      </c>
      <c r="H542" s="2">
        <v>232259.27</v>
      </c>
      <c r="I542" s="2">
        <v>41452.239999999998</v>
      </c>
      <c r="J542">
        <v>42</v>
      </c>
      <c r="K542">
        <v>2</v>
      </c>
      <c r="L542">
        <v>12</v>
      </c>
      <c r="M542">
        <v>2</v>
      </c>
      <c r="N542">
        <v>16</v>
      </c>
      <c r="O542" s="2">
        <v>61974.49</v>
      </c>
      <c r="P542" s="2">
        <v>100.88</v>
      </c>
      <c r="Q542" s="2">
        <v>109.1</v>
      </c>
    </row>
    <row r="543" spans="1:17" x14ac:dyDescent="0.45">
      <c r="A543" s="1">
        <v>45839</v>
      </c>
      <c r="B543">
        <v>2025</v>
      </c>
      <c r="C543">
        <v>10</v>
      </c>
      <c r="D543" t="s">
        <v>18</v>
      </c>
      <c r="E543" s="2">
        <v>4016000</v>
      </c>
      <c r="F543" s="2">
        <v>368523.8</v>
      </c>
      <c r="G543" s="2">
        <v>309861</v>
      </c>
      <c r="H543" s="2">
        <v>44580.11</v>
      </c>
      <c r="I543" s="2">
        <v>6912.05</v>
      </c>
      <c r="J543">
        <v>29</v>
      </c>
      <c r="K543">
        <v>2</v>
      </c>
      <c r="L543">
        <v>67</v>
      </c>
      <c r="M543">
        <v>0</v>
      </c>
      <c r="N543">
        <v>9</v>
      </c>
      <c r="O543" s="2">
        <v>4900.08</v>
      </c>
      <c r="P543" s="2">
        <v>117.97</v>
      </c>
      <c r="Q543" s="2">
        <v>116.93</v>
      </c>
    </row>
    <row r="544" spans="1:17" x14ac:dyDescent="0.45">
      <c r="A544" s="1">
        <v>45748</v>
      </c>
      <c r="B544">
        <v>2025</v>
      </c>
      <c r="C544">
        <v>7</v>
      </c>
      <c r="D544" t="s">
        <v>17</v>
      </c>
      <c r="E544" s="2">
        <v>8377000</v>
      </c>
      <c r="F544" s="2">
        <v>718272.75</v>
      </c>
      <c r="G544" s="2">
        <v>352963.87</v>
      </c>
      <c r="H544" s="2">
        <v>313545.98</v>
      </c>
      <c r="I544" s="2">
        <v>28072.29</v>
      </c>
      <c r="J544">
        <v>44</v>
      </c>
      <c r="K544">
        <v>3</v>
      </c>
      <c r="L544">
        <v>6</v>
      </c>
      <c r="M544">
        <v>5</v>
      </c>
      <c r="N544">
        <v>23</v>
      </c>
      <c r="O544" s="2">
        <v>112671.88</v>
      </c>
      <c r="P544" s="2">
        <v>112.01</v>
      </c>
      <c r="Q544" s="2">
        <v>116.77</v>
      </c>
    </row>
    <row r="545" spans="1:17" x14ac:dyDescent="0.45">
      <c r="A545" s="1">
        <v>44743</v>
      </c>
      <c r="B545">
        <v>2022</v>
      </c>
      <c r="C545">
        <v>10</v>
      </c>
      <c r="D545" t="s">
        <v>17</v>
      </c>
      <c r="E545" s="2">
        <v>7555000</v>
      </c>
      <c r="F545" s="2">
        <v>588846.23</v>
      </c>
      <c r="G545" s="2">
        <v>308067.75</v>
      </c>
      <c r="H545" s="2">
        <v>246891.59</v>
      </c>
      <c r="I545" s="2">
        <v>32752.17</v>
      </c>
      <c r="J545">
        <v>42</v>
      </c>
      <c r="K545">
        <v>3</v>
      </c>
      <c r="L545">
        <v>38</v>
      </c>
      <c r="M545">
        <v>0</v>
      </c>
      <c r="N545">
        <v>18</v>
      </c>
      <c r="O545" s="2">
        <v>17212.73</v>
      </c>
      <c r="P545" s="2">
        <v>106.6</v>
      </c>
      <c r="Q545" s="2">
        <v>105.09</v>
      </c>
    </row>
    <row r="546" spans="1:17" x14ac:dyDescent="0.45">
      <c r="A546" s="1">
        <v>45383</v>
      </c>
      <c r="B546">
        <v>2024</v>
      </c>
      <c r="C546">
        <v>7</v>
      </c>
      <c r="D546" t="s">
        <v>18</v>
      </c>
      <c r="E546" s="2">
        <v>3881000</v>
      </c>
      <c r="F546" s="2">
        <v>341546.23999999999</v>
      </c>
      <c r="G546" s="2">
        <v>272937.5</v>
      </c>
      <c r="H546" s="2">
        <v>45770.41</v>
      </c>
      <c r="I546" s="2">
        <v>22940.52</v>
      </c>
      <c r="J546">
        <v>28</v>
      </c>
      <c r="K546">
        <v>3</v>
      </c>
      <c r="M546">
        <v>3</v>
      </c>
      <c r="N546">
        <v>9</v>
      </c>
      <c r="O546" s="2">
        <v>30098.49</v>
      </c>
      <c r="P546" s="2">
        <v>98.35</v>
      </c>
      <c r="Q546" s="2">
        <v>112.43</v>
      </c>
    </row>
    <row r="547" spans="1:17" x14ac:dyDescent="0.45">
      <c r="A547" s="1">
        <v>44317</v>
      </c>
      <c r="B547">
        <v>2021</v>
      </c>
      <c r="C547">
        <v>8</v>
      </c>
      <c r="D547" t="s">
        <v>17</v>
      </c>
      <c r="E547" s="2">
        <v>7300000</v>
      </c>
      <c r="F547" s="2">
        <v>576701.78</v>
      </c>
      <c r="G547" s="2">
        <v>315668.21999999997</v>
      </c>
      <c r="H547" s="2">
        <v>212189.2</v>
      </c>
      <c r="I547" s="2">
        <v>10381.209999999999</v>
      </c>
      <c r="J547">
        <v>45</v>
      </c>
      <c r="K547">
        <v>2</v>
      </c>
      <c r="L547">
        <v>38</v>
      </c>
      <c r="M547">
        <v>2</v>
      </c>
      <c r="N547">
        <v>14</v>
      </c>
      <c r="O547" s="2">
        <v>49304.5</v>
      </c>
      <c r="P547" s="2">
        <v>105.21</v>
      </c>
      <c r="Q547" s="2">
        <v>100.77</v>
      </c>
    </row>
    <row r="548" spans="1:17" x14ac:dyDescent="0.45">
      <c r="A548" s="1">
        <v>45352</v>
      </c>
      <c r="B548">
        <v>2024</v>
      </c>
      <c r="C548">
        <v>6</v>
      </c>
      <c r="D548" t="s">
        <v>26</v>
      </c>
      <c r="E548" s="2">
        <v>8870000</v>
      </c>
      <c r="F548" s="2">
        <v>717587.17</v>
      </c>
      <c r="G548" s="2">
        <v>494519.43</v>
      </c>
      <c r="H548" s="2">
        <v>210510.88</v>
      </c>
      <c r="I548" s="2">
        <v>14472.08</v>
      </c>
      <c r="J548">
        <v>65</v>
      </c>
      <c r="K548">
        <v>4</v>
      </c>
      <c r="L548">
        <v>114</v>
      </c>
      <c r="M548">
        <v>0</v>
      </c>
      <c r="N548">
        <v>12</v>
      </c>
      <c r="O548" s="2">
        <v>19829.759999999998</v>
      </c>
      <c r="P548" s="2">
        <v>102.97</v>
      </c>
      <c r="Q548" s="2">
        <v>112.44</v>
      </c>
    </row>
    <row r="549" spans="1:17" x14ac:dyDescent="0.45">
      <c r="A549" s="1">
        <v>45231</v>
      </c>
      <c r="B549">
        <v>2024</v>
      </c>
      <c r="C549">
        <v>2</v>
      </c>
      <c r="D549" t="s">
        <v>24</v>
      </c>
      <c r="E549" s="2">
        <v>14968000</v>
      </c>
      <c r="F549" s="2">
        <v>1515774.07</v>
      </c>
      <c r="G549" s="2">
        <v>622883.73</v>
      </c>
      <c r="H549" s="2">
        <v>632230.71</v>
      </c>
      <c r="I549" s="2">
        <v>271619.96999999997</v>
      </c>
      <c r="J549">
        <v>79</v>
      </c>
      <c r="K549">
        <v>5</v>
      </c>
      <c r="L549">
        <v>118</v>
      </c>
      <c r="M549">
        <v>6</v>
      </c>
      <c r="N549">
        <v>28</v>
      </c>
      <c r="O549" s="2">
        <v>191299.84</v>
      </c>
      <c r="P549" s="2">
        <v>99.21</v>
      </c>
      <c r="Q549" s="2">
        <v>110.81</v>
      </c>
    </row>
    <row r="550" spans="1:17" x14ac:dyDescent="0.45">
      <c r="A550" s="1">
        <v>44896</v>
      </c>
      <c r="B550">
        <v>2023</v>
      </c>
      <c r="C550">
        <v>3</v>
      </c>
      <c r="D550" t="s">
        <v>18</v>
      </c>
      <c r="E550" s="2">
        <v>3749000</v>
      </c>
      <c r="F550" s="2">
        <v>322006.39</v>
      </c>
      <c r="G550" s="2">
        <v>266575.84999999998</v>
      </c>
      <c r="H550" s="2">
        <v>49912.35</v>
      </c>
      <c r="I550" s="2">
        <v>1792.96</v>
      </c>
      <c r="J550">
        <v>27</v>
      </c>
      <c r="K550">
        <v>2</v>
      </c>
      <c r="L550">
        <v>26</v>
      </c>
      <c r="M550">
        <v>0</v>
      </c>
      <c r="N550">
        <v>11</v>
      </c>
      <c r="O550" s="2">
        <v>5826.93</v>
      </c>
      <c r="P550" s="2">
        <v>106.07</v>
      </c>
      <c r="Q550" s="2">
        <v>106.83</v>
      </c>
    </row>
    <row r="551" spans="1:17" x14ac:dyDescent="0.45">
      <c r="A551" s="1">
        <v>45261</v>
      </c>
      <c r="B551">
        <v>2024</v>
      </c>
      <c r="C551">
        <v>3</v>
      </c>
      <c r="D551" t="s">
        <v>27</v>
      </c>
      <c r="E551" s="2">
        <v>27718000</v>
      </c>
      <c r="F551" s="2">
        <v>2508794.5</v>
      </c>
      <c r="G551" s="2">
        <v>1719465.23</v>
      </c>
      <c r="H551" s="2">
        <v>667655.91</v>
      </c>
      <c r="I551" s="2">
        <v>85933.82</v>
      </c>
      <c r="J551">
        <v>203</v>
      </c>
      <c r="K551">
        <v>15</v>
      </c>
      <c r="L551">
        <v>997</v>
      </c>
      <c r="M551">
        <v>11</v>
      </c>
      <c r="N551">
        <v>41</v>
      </c>
      <c r="O551" s="2">
        <v>916651.44</v>
      </c>
      <c r="P551" s="2">
        <v>100.62</v>
      </c>
      <c r="Q551" s="2">
        <v>110.83</v>
      </c>
    </row>
    <row r="552" spans="1:17" x14ac:dyDescent="0.45">
      <c r="A552" s="1">
        <v>44682</v>
      </c>
      <c r="B552">
        <v>2022</v>
      </c>
      <c r="C552">
        <v>8</v>
      </c>
      <c r="D552" t="s">
        <v>19</v>
      </c>
      <c r="E552" s="2">
        <v>4968000</v>
      </c>
      <c r="F552" s="2">
        <v>444998.59</v>
      </c>
      <c r="G552" s="2">
        <v>338505.31</v>
      </c>
      <c r="H552" s="2">
        <v>60971.53</v>
      </c>
      <c r="I552" s="2">
        <v>46051.56</v>
      </c>
      <c r="J552">
        <v>37</v>
      </c>
      <c r="K552">
        <v>4</v>
      </c>
      <c r="L552">
        <v>45</v>
      </c>
      <c r="M552">
        <v>5</v>
      </c>
      <c r="N552">
        <v>17</v>
      </c>
      <c r="O552" s="2">
        <v>71385.279999999999</v>
      </c>
      <c r="P552" s="2">
        <v>107.82</v>
      </c>
      <c r="Q552" s="2">
        <v>104.96</v>
      </c>
    </row>
    <row r="553" spans="1:17" x14ac:dyDescent="0.45">
      <c r="A553" s="1">
        <v>45413</v>
      </c>
      <c r="B553">
        <v>2024</v>
      </c>
      <c r="C553">
        <v>8</v>
      </c>
      <c r="D553" t="s">
        <v>22</v>
      </c>
      <c r="E553" s="2">
        <v>6874000</v>
      </c>
      <c r="F553" s="2">
        <v>587981.9</v>
      </c>
      <c r="G553" s="2">
        <v>291713.7</v>
      </c>
      <c r="H553" s="2">
        <v>258633.93</v>
      </c>
      <c r="I553" s="2">
        <v>31777.89</v>
      </c>
      <c r="J553">
        <v>31</v>
      </c>
      <c r="K553">
        <v>2</v>
      </c>
      <c r="L553">
        <v>38</v>
      </c>
      <c r="M553">
        <v>2</v>
      </c>
      <c r="N553">
        <v>9</v>
      </c>
      <c r="O553" s="2">
        <v>24238</v>
      </c>
      <c r="P553" s="2">
        <v>98.26</v>
      </c>
      <c r="Q553" s="2">
        <v>111.81</v>
      </c>
    </row>
    <row r="554" spans="1:17" x14ac:dyDescent="0.45">
      <c r="A554" s="1">
        <v>45901</v>
      </c>
      <c r="B554">
        <v>2025</v>
      </c>
      <c r="C554">
        <v>12</v>
      </c>
      <c r="D554" t="s">
        <v>21</v>
      </c>
      <c r="E554" s="2">
        <v>9180000</v>
      </c>
      <c r="F554" s="2">
        <v>742381.08</v>
      </c>
      <c r="G554" s="2">
        <v>475909.42</v>
      </c>
      <c r="H554" s="2">
        <v>238808.18</v>
      </c>
      <c r="I554" s="2">
        <v>16513.150000000001</v>
      </c>
      <c r="J554">
        <v>65</v>
      </c>
      <c r="K554">
        <v>7</v>
      </c>
      <c r="L554">
        <v>92</v>
      </c>
      <c r="M554">
        <v>3</v>
      </c>
      <c r="N554">
        <v>18</v>
      </c>
      <c r="O554" s="2">
        <v>85292.17</v>
      </c>
      <c r="P554" s="2">
        <v>118.35</v>
      </c>
      <c r="Q554" s="2">
        <v>118.55</v>
      </c>
    </row>
    <row r="555" spans="1:17" x14ac:dyDescent="0.45">
      <c r="A555" s="1">
        <v>45962</v>
      </c>
      <c r="B555">
        <v>2026</v>
      </c>
      <c r="C555">
        <v>2</v>
      </c>
      <c r="D555" t="s">
        <v>25</v>
      </c>
      <c r="E555" s="2">
        <v>4988000</v>
      </c>
      <c r="F555" s="2">
        <v>455027.53</v>
      </c>
      <c r="G555" s="2">
        <v>347446.55</v>
      </c>
      <c r="H555" s="2">
        <v>75808.81</v>
      </c>
      <c r="I555" s="2">
        <v>31956.02</v>
      </c>
      <c r="J555">
        <v>33</v>
      </c>
      <c r="K555">
        <v>4</v>
      </c>
      <c r="L555">
        <v>21</v>
      </c>
      <c r="M555">
        <v>4</v>
      </c>
      <c r="N555">
        <v>16</v>
      </c>
      <c r="O555" s="2">
        <v>49878.32</v>
      </c>
      <c r="P555" s="2">
        <v>119.27</v>
      </c>
      <c r="Q555" s="2">
        <v>118.28</v>
      </c>
    </row>
    <row r="556" spans="1:17" x14ac:dyDescent="0.45">
      <c r="A556" s="1">
        <v>45413</v>
      </c>
      <c r="B556">
        <v>2024</v>
      </c>
      <c r="C556">
        <v>8</v>
      </c>
      <c r="D556" t="s">
        <v>28</v>
      </c>
      <c r="E556" s="2">
        <v>24392000</v>
      </c>
      <c r="F556" s="2">
        <v>1984892.54</v>
      </c>
      <c r="G556" s="2">
        <v>1736960.84</v>
      </c>
      <c r="H556" s="2">
        <v>310572.96000000002</v>
      </c>
      <c r="I556" s="2">
        <v>66051.289999999994</v>
      </c>
      <c r="J556">
        <v>186</v>
      </c>
      <c r="K556">
        <v>14</v>
      </c>
      <c r="L556">
        <v>750</v>
      </c>
      <c r="M556">
        <v>7</v>
      </c>
      <c r="N556">
        <v>35</v>
      </c>
      <c r="O556" s="2">
        <v>513510.33</v>
      </c>
      <c r="P556" s="2">
        <v>103.53</v>
      </c>
      <c r="Q556" s="2">
        <v>112.09</v>
      </c>
    </row>
    <row r="557" spans="1:17" x14ac:dyDescent="0.45">
      <c r="A557" s="1">
        <v>45870</v>
      </c>
      <c r="B557">
        <v>2025</v>
      </c>
      <c r="C557">
        <v>11</v>
      </c>
      <c r="D557" t="s">
        <v>23</v>
      </c>
      <c r="E557" s="2">
        <v>21803000</v>
      </c>
      <c r="F557" s="2">
        <v>1763883.8</v>
      </c>
      <c r="G557" s="2">
        <v>872051.09</v>
      </c>
      <c r="H557" s="2">
        <v>771083.9</v>
      </c>
      <c r="I557" s="2">
        <v>103756.86</v>
      </c>
      <c r="J557">
        <v>101</v>
      </c>
      <c r="K557">
        <v>6</v>
      </c>
      <c r="L557">
        <v>368</v>
      </c>
      <c r="M557">
        <v>7</v>
      </c>
      <c r="N557">
        <v>28</v>
      </c>
      <c r="O557" s="2">
        <v>338505.78</v>
      </c>
      <c r="P557" s="2">
        <v>118.42</v>
      </c>
      <c r="Q557" s="2">
        <v>117.83</v>
      </c>
    </row>
    <row r="558" spans="1:17" x14ac:dyDescent="0.45">
      <c r="A558" s="1">
        <v>45627</v>
      </c>
      <c r="B558">
        <v>2025</v>
      </c>
      <c r="C558">
        <v>3</v>
      </c>
      <c r="D558" t="s">
        <v>17</v>
      </c>
      <c r="E558" s="2">
        <v>8377000</v>
      </c>
      <c r="F558" s="2">
        <v>804038.49</v>
      </c>
      <c r="G558" s="2">
        <v>360829.32</v>
      </c>
      <c r="H558" s="2">
        <v>375014.36</v>
      </c>
      <c r="I558" s="2">
        <v>48732.6</v>
      </c>
      <c r="J558">
        <v>44</v>
      </c>
      <c r="L558">
        <v>91</v>
      </c>
      <c r="M558">
        <v>5</v>
      </c>
      <c r="N558">
        <v>14</v>
      </c>
      <c r="O558" s="2">
        <v>87606.27</v>
      </c>
      <c r="P558" s="2">
        <v>105.29</v>
      </c>
      <c r="Q558" s="2">
        <v>115.23</v>
      </c>
    </row>
    <row r="559" spans="1:17" x14ac:dyDescent="0.45">
      <c r="A559" s="1">
        <v>44197</v>
      </c>
      <c r="B559">
        <v>2021</v>
      </c>
      <c r="C559">
        <v>4</v>
      </c>
      <c r="D559" t="s">
        <v>21</v>
      </c>
      <c r="E559" s="2">
        <v>8000000</v>
      </c>
      <c r="F559" s="2">
        <v>641412.57999999996</v>
      </c>
      <c r="G559" s="2">
        <v>408130.06</v>
      </c>
      <c r="H559" s="2">
        <v>216265.49</v>
      </c>
      <c r="I559" s="2">
        <v>27769.64</v>
      </c>
      <c r="J559">
        <v>62</v>
      </c>
      <c r="K559">
        <v>6</v>
      </c>
      <c r="L559">
        <v>0</v>
      </c>
      <c r="M559">
        <v>4</v>
      </c>
      <c r="N559">
        <v>15</v>
      </c>
      <c r="O559" s="2">
        <v>69592.100000000006</v>
      </c>
      <c r="P559" s="2">
        <v>99.68</v>
      </c>
      <c r="Q559" s="2">
        <v>99.81</v>
      </c>
    </row>
    <row r="560" spans="1:17" x14ac:dyDescent="0.45">
      <c r="A560" s="1">
        <v>44896</v>
      </c>
      <c r="B560">
        <v>2023</v>
      </c>
      <c r="C560">
        <v>3</v>
      </c>
      <c r="D560" t="s">
        <v>21</v>
      </c>
      <c r="E560" s="2">
        <v>8570000</v>
      </c>
      <c r="F560" s="2">
        <v>719164.03</v>
      </c>
      <c r="G560" s="2">
        <v>451044.67</v>
      </c>
      <c r="H560" s="2">
        <v>266490.83</v>
      </c>
      <c r="I560" s="2">
        <v>19891.47</v>
      </c>
      <c r="J560">
        <v>65</v>
      </c>
      <c r="K560">
        <v>8</v>
      </c>
      <c r="L560">
        <v>86</v>
      </c>
      <c r="M560">
        <v>1</v>
      </c>
      <c r="N560">
        <v>13</v>
      </c>
      <c r="O560" s="2">
        <v>35050.75</v>
      </c>
      <c r="P560" s="2">
        <v>105.2</v>
      </c>
      <c r="Q560" s="2">
        <v>107.3</v>
      </c>
    </row>
    <row r="561" spans="1:17" x14ac:dyDescent="0.45">
      <c r="A561" s="1">
        <v>44228</v>
      </c>
      <c r="B561">
        <v>2021</v>
      </c>
      <c r="C561">
        <v>5</v>
      </c>
      <c r="D561" t="s">
        <v>19</v>
      </c>
      <c r="E561" s="2">
        <v>4800000</v>
      </c>
      <c r="F561" s="2">
        <v>448204.58</v>
      </c>
      <c r="G561" s="2">
        <v>348771.39</v>
      </c>
      <c r="H561" s="2">
        <v>58995.040000000001</v>
      </c>
      <c r="I561" s="2">
        <v>34805.89</v>
      </c>
      <c r="J561">
        <v>36</v>
      </c>
      <c r="K561">
        <v>1</v>
      </c>
      <c r="L561">
        <v>42</v>
      </c>
      <c r="M561">
        <v>2</v>
      </c>
      <c r="N561">
        <v>14</v>
      </c>
      <c r="O561" s="2">
        <v>34848.300000000003</v>
      </c>
      <c r="P561" s="2">
        <v>103.79</v>
      </c>
      <c r="Q561" s="2">
        <v>100.39</v>
      </c>
    </row>
    <row r="562" spans="1:17" x14ac:dyDescent="0.45">
      <c r="A562" s="1">
        <v>45536</v>
      </c>
      <c r="B562">
        <v>2024</v>
      </c>
      <c r="C562">
        <v>12</v>
      </c>
      <c r="D562" t="s">
        <v>22</v>
      </c>
      <c r="E562" s="2">
        <v>6874000</v>
      </c>
      <c r="F562" s="2">
        <v>596854.04</v>
      </c>
      <c r="G562" s="2">
        <v>307117.37</v>
      </c>
      <c r="H562" s="2">
        <v>278766.21999999997</v>
      </c>
      <c r="I562" s="2">
        <v>22321.360000000001</v>
      </c>
      <c r="J562">
        <v>31</v>
      </c>
      <c r="K562">
        <v>3</v>
      </c>
      <c r="L562">
        <v>48</v>
      </c>
      <c r="M562">
        <v>1</v>
      </c>
      <c r="N562">
        <v>17</v>
      </c>
      <c r="O562" s="2">
        <v>36058.78</v>
      </c>
      <c r="P562" s="2">
        <v>108.57</v>
      </c>
      <c r="Q562" s="2">
        <v>114.02</v>
      </c>
    </row>
    <row r="563" spans="1:17" x14ac:dyDescent="0.45">
      <c r="A563" s="1">
        <v>45931</v>
      </c>
      <c r="B563">
        <v>2026</v>
      </c>
      <c r="C563">
        <v>1</v>
      </c>
      <c r="D563" t="s">
        <v>22</v>
      </c>
      <c r="E563" s="2">
        <v>7364000</v>
      </c>
      <c r="F563" s="2">
        <v>771342.69</v>
      </c>
      <c r="G563" s="2">
        <v>316242.65000000002</v>
      </c>
      <c r="H563" s="2">
        <v>293292.64</v>
      </c>
      <c r="I563" s="2">
        <v>156804.14000000001</v>
      </c>
      <c r="J563">
        <v>31</v>
      </c>
      <c r="K563">
        <v>4</v>
      </c>
      <c r="M563">
        <v>3</v>
      </c>
      <c r="N563">
        <v>18</v>
      </c>
      <c r="O563" s="2">
        <v>65477.97</v>
      </c>
      <c r="P563" s="2">
        <v>122.45</v>
      </c>
      <c r="Q563" s="2">
        <v>118.43</v>
      </c>
    </row>
    <row r="564" spans="1:17" x14ac:dyDescent="0.45">
      <c r="A564" s="1">
        <v>45809</v>
      </c>
      <c r="B564">
        <v>2025</v>
      </c>
      <c r="C564">
        <v>9</v>
      </c>
      <c r="D564" t="s">
        <v>19</v>
      </c>
      <c r="E564" s="2">
        <v>5508000</v>
      </c>
      <c r="F564" s="2">
        <v>509572.9</v>
      </c>
      <c r="G564" s="2">
        <v>392256.49</v>
      </c>
      <c r="H564" s="2">
        <v>70711.960000000006</v>
      </c>
      <c r="I564" s="2">
        <v>50171.07</v>
      </c>
      <c r="J564">
        <v>37</v>
      </c>
      <c r="K564">
        <v>3</v>
      </c>
      <c r="L564">
        <v>81</v>
      </c>
      <c r="M564">
        <v>0</v>
      </c>
      <c r="N564">
        <v>2</v>
      </c>
      <c r="O564" s="2">
        <v>1515.58</v>
      </c>
      <c r="P564" s="2">
        <v>114.8</v>
      </c>
      <c r="Q564" s="2">
        <v>117.17</v>
      </c>
    </row>
    <row r="565" spans="1:17" x14ac:dyDescent="0.45">
      <c r="A565" s="1">
        <v>44713</v>
      </c>
      <c r="B565">
        <v>2022</v>
      </c>
      <c r="C565">
        <v>9</v>
      </c>
      <c r="D565" t="s">
        <v>22</v>
      </c>
      <c r="E565" s="2">
        <v>6417000</v>
      </c>
      <c r="F565" s="2">
        <v>501610.16</v>
      </c>
      <c r="G565" s="2">
        <v>261666.42</v>
      </c>
      <c r="H565" s="2">
        <v>211491.06</v>
      </c>
      <c r="I565" s="2">
        <v>31141.78</v>
      </c>
      <c r="J565">
        <v>30</v>
      </c>
      <c r="K565">
        <v>2</v>
      </c>
      <c r="L565">
        <v>44</v>
      </c>
      <c r="M565">
        <v>1</v>
      </c>
      <c r="N565">
        <v>11</v>
      </c>
      <c r="O565" s="2">
        <v>26313.64</v>
      </c>
      <c r="P565" s="2">
        <v>110.08</v>
      </c>
      <c r="Q565" s="2">
        <v>104.61</v>
      </c>
    </row>
    <row r="566" spans="1:17" x14ac:dyDescent="0.45">
      <c r="A566" s="1">
        <v>44652</v>
      </c>
      <c r="B566">
        <v>2022</v>
      </c>
      <c r="C566">
        <v>7</v>
      </c>
      <c r="D566" t="s">
        <v>28</v>
      </c>
      <c r="E566" s="2">
        <v>22770000</v>
      </c>
      <c r="F566" s="2">
        <v>1881956.21</v>
      </c>
      <c r="G566" s="2">
        <v>1485322.06</v>
      </c>
      <c r="H566" s="2">
        <v>394308.6</v>
      </c>
      <c r="I566" s="2">
        <v>35315.730000000003</v>
      </c>
      <c r="J566">
        <v>175</v>
      </c>
      <c r="K566">
        <v>14</v>
      </c>
      <c r="L566">
        <v>555</v>
      </c>
      <c r="M566">
        <v>7</v>
      </c>
      <c r="N566">
        <v>22</v>
      </c>
      <c r="O566" s="2">
        <v>332553.53999999998</v>
      </c>
      <c r="P566" s="2">
        <v>110.02</v>
      </c>
      <c r="Q566" s="2">
        <v>105.07</v>
      </c>
    </row>
    <row r="567" spans="1:17" x14ac:dyDescent="0.45">
      <c r="A567" s="1">
        <v>44652</v>
      </c>
      <c r="B567">
        <v>2022</v>
      </c>
      <c r="C567">
        <v>7</v>
      </c>
      <c r="D567" t="s">
        <v>19</v>
      </c>
      <c r="E567" s="2">
        <v>4968000</v>
      </c>
      <c r="F567" s="2">
        <v>430400.77</v>
      </c>
      <c r="G567" s="2">
        <v>355112.47</v>
      </c>
      <c r="H567" s="2">
        <v>62827.11</v>
      </c>
      <c r="I567" s="2">
        <v>10325.14</v>
      </c>
      <c r="J567">
        <v>35</v>
      </c>
      <c r="K567">
        <v>3</v>
      </c>
      <c r="L567">
        <v>74</v>
      </c>
      <c r="M567">
        <v>1</v>
      </c>
      <c r="N567">
        <v>9</v>
      </c>
      <c r="O567" s="2">
        <v>11426.76</v>
      </c>
      <c r="P567" s="2">
        <v>111.93</v>
      </c>
      <c r="Q567" s="2">
        <v>104.91</v>
      </c>
    </row>
    <row r="568" spans="1:17" x14ac:dyDescent="0.45">
      <c r="A568" s="1">
        <v>45992</v>
      </c>
      <c r="B568">
        <v>2026</v>
      </c>
      <c r="C568">
        <v>3</v>
      </c>
      <c r="D568" t="s">
        <v>27</v>
      </c>
      <c r="E568" s="2">
        <v>29692000</v>
      </c>
      <c r="F568" s="2">
        <v>3117515.07</v>
      </c>
      <c r="G568" s="2">
        <v>2038649.78</v>
      </c>
      <c r="H568" s="2">
        <v>668569.99</v>
      </c>
      <c r="I568" s="2">
        <v>390364.31</v>
      </c>
      <c r="J568">
        <v>219</v>
      </c>
      <c r="K568">
        <v>16</v>
      </c>
      <c r="L568">
        <v>1241</v>
      </c>
      <c r="M568">
        <v>6</v>
      </c>
      <c r="N568">
        <v>32</v>
      </c>
      <c r="O568" s="2">
        <v>428183.34</v>
      </c>
      <c r="P568" s="2">
        <v>120.19</v>
      </c>
      <c r="Q568" s="2">
        <v>118.98</v>
      </c>
    </row>
    <row r="569" spans="1:17" x14ac:dyDescent="0.45">
      <c r="A569" s="1">
        <v>45200</v>
      </c>
      <c r="B569">
        <v>2024</v>
      </c>
      <c r="C569">
        <v>1</v>
      </c>
      <c r="D569" t="s">
        <v>17</v>
      </c>
      <c r="E569" s="2">
        <v>8094000</v>
      </c>
      <c r="F569" s="2">
        <v>795985.48</v>
      </c>
      <c r="G569" s="2">
        <v>377558.57</v>
      </c>
      <c r="H569" s="2">
        <v>282606.46000000002</v>
      </c>
      <c r="I569" s="2">
        <v>115687.12</v>
      </c>
      <c r="J569">
        <v>45</v>
      </c>
      <c r="K569">
        <v>1</v>
      </c>
      <c r="L569">
        <v>85</v>
      </c>
      <c r="M569">
        <v>4</v>
      </c>
      <c r="N569">
        <v>15</v>
      </c>
      <c r="O569" s="2">
        <v>93600.58</v>
      </c>
      <c r="P569" s="2">
        <v>101.46</v>
      </c>
      <c r="Q569" s="2">
        <v>110.41</v>
      </c>
    </row>
    <row r="570" spans="1:17" x14ac:dyDescent="0.45">
      <c r="A570" s="1">
        <v>45566</v>
      </c>
      <c r="B570">
        <v>2025</v>
      </c>
      <c r="C570">
        <v>1</v>
      </c>
      <c r="D570" t="s">
        <v>22</v>
      </c>
      <c r="E570" s="2">
        <v>7115000</v>
      </c>
      <c r="F570" s="2">
        <v>618084.05000000005</v>
      </c>
      <c r="G570" s="2">
        <v>294856.49</v>
      </c>
      <c r="H570" s="2">
        <v>291464.84000000003</v>
      </c>
      <c r="I570" s="2">
        <v>28776.42</v>
      </c>
      <c r="J570">
        <v>30</v>
      </c>
      <c r="K570">
        <v>3</v>
      </c>
      <c r="L570">
        <v>71</v>
      </c>
      <c r="M570">
        <v>3</v>
      </c>
      <c r="N570">
        <v>18</v>
      </c>
      <c r="O570" s="2">
        <v>67363.570000000007</v>
      </c>
      <c r="P570" s="2">
        <v>108.1</v>
      </c>
      <c r="Q570" s="2">
        <v>113.75</v>
      </c>
    </row>
    <row r="571" spans="1:17" x14ac:dyDescent="0.45">
      <c r="A571" s="1">
        <v>44197</v>
      </c>
      <c r="B571">
        <v>2021</v>
      </c>
      <c r="C571">
        <v>4</v>
      </c>
      <c r="D571" t="s">
        <v>23</v>
      </c>
      <c r="E571" s="2">
        <v>19000000</v>
      </c>
      <c r="F571" s="2">
        <v>1370225.9</v>
      </c>
      <c r="G571" s="2">
        <v>682441.3</v>
      </c>
      <c r="H571" s="2">
        <v>623648.46</v>
      </c>
      <c r="I571" s="2">
        <v>63527.6</v>
      </c>
      <c r="J571">
        <v>93</v>
      </c>
      <c r="K571">
        <v>8</v>
      </c>
      <c r="M571">
        <v>5</v>
      </c>
      <c r="N571">
        <v>28</v>
      </c>
      <c r="O571" s="2">
        <v>180061.46</v>
      </c>
      <c r="P571" s="2">
        <v>102.81</v>
      </c>
      <c r="Q571" s="2">
        <v>99.98</v>
      </c>
    </row>
    <row r="572" spans="1:17" x14ac:dyDescent="0.45">
      <c r="A572" s="1">
        <v>45139</v>
      </c>
      <c r="B572">
        <v>2023</v>
      </c>
      <c r="C572">
        <v>11</v>
      </c>
      <c r="D572" t="s">
        <v>25</v>
      </c>
      <c r="E572" s="2">
        <v>4499000</v>
      </c>
      <c r="F572" s="2">
        <v>395235.86</v>
      </c>
      <c r="G572" s="2">
        <v>325793.45</v>
      </c>
      <c r="H572" s="2">
        <v>66652.62</v>
      </c>
      <c r="I572" s="2">
        <v>3076.06</v>
      </c>
      <c r="J572">
        <v>34</v>
      </c>
      <c r="K572">
        <v>0</v>
      </c>
      <c r="L572">
        <v>24</v>
      </c>
      <c r="M572">
        <v>5</v>
      </c>
      <c r="N572">
        <v>15</v>
      </c>
      <c r="O572" s="2">
        <v>56599.28</v>
      </c>
      <c r="P572" s="2">
        <v>102.41</v>
      </c>
      <c r="Q572" s="2">
        <v>109.62</v>
      </c>
    </row>
    <row r="573" spans="1:17" x14ac:dyDescent="0.45">
      <c r="A573" s="1">
        <v>45778</v>
      </c>
      <c r="B573">
        <v>2025</v>
      </c>
      <c r="C573">
        <v>8</v>
      </c>
      <c r="D573" t="s">
        <v>21</v>
      </c>
      <c r="E573" s="2">
        <v>9180000</v>
      </c>
      <c r="F573" s="2">
        <v>852031.49</v>
      </c>
      <c r="G573" s="2">
        <v>509665.25</v>
      </c>
      <c r="H573" s="2">
        <v>322182.65999999997</v>
      </c>
      <c r="I573" s="2">
        <v>17729.349999999999</v>
      </c>
      <c r="J573">
        <v>68</v>
      </c>
      <c r="K573">
        <v>4</v>
      </c>
      <c r="L573">
        <v>36</v>
      </c>
      <c r="M573">
        <v>2</v>
      </c>
      <c r="N573">
        <v>13</v>
      </c>
      <c r="O573" s="2">
        <v>56781.54</v>
      </c>
      <c r="P573" s="2">
        <v>117.74</v>
      </c>
      <c r="Q573" s="2">
        <v>116.58</v>
      </c>
    </row>
    <row r="574" spans="1:17" x14ac:dyDescent="0.45">
      <c r="A574" s="1">
        <v>44713</v>
      </c>
      <c r="B574">
        <v>2022</v>
      </c>
      <c r="C574">
        <v>9</v>
      </c>
      <c r="D574" t="s">
        <v>19</v>
      </c>
      <c r="E574" s="2">
        <v>4968000</v>
      </c>
      <c r="F574" s="2">
        <v>407178.75</v>
      </c>
      <c r="G574" s="2">
        <v>337822.92</v>
      </c>
      <c r="H574" s="2">
        <v>66847.199999999997</v>
      </c>
      <c r="I574" s="2">
        <v>7438.91</v>
      </c>
      <c r="J574">
        <v>35</v>
      </c>
      <c r="K574">
        <v>2</v>
      </c>
      <c r="L574">
        <v>72</v>
      </c>
      <c r="M574">
        <v>2</v>
      </c>
      <c r="N574">
        <v>16</v>
      </c>
      <c r="O574" s="2">
        <v>38553.269999999997</v>
      </c>
      <c r="P574" s="2">
        <v>112.05</v>
      </c>
      <c r="Q574" s="2">
        <v>105.24</v>
      </c>
    </row>
    <row r="575" spans="1:17" x14ac:dyDescent="0.45">
      <c r="A575" s="1">
        <v>44835</v>
      </c>
      <c r="B575">
        <v>2023</v>
      </c>
      <c r="C575">
        <v>1</v>
      </c>
      <c r="D575" t="s">
        <v>29</v>
      </c>
      <c r="E575" s="2">
        <v>23567000</v>
      </c>
      <c r="F575" s="2">
        <v>2106022.2400000002</v>
      </c>
      <c r="G575" s="2">
        <v>1589344.17</v>
      </c>
      <c r="H575" s="2">
        <v>440343.87</v>
      </c>
      <c r="I575" s="2">
        <v>23787.81</v>
      </c>
      <c r="J575">
        <v>175</v>
      </c>
      <c r="K575">
        <v>15</v>
      </c>
      <c r="L575">
        <v>810</v>
      </c>
      <c r="M575">
        <v>7</v>
      </c>
      <c r="N575">
        <v>36</v>
      </c>
      <c r="O575" s="2">
        <v>397294.59</v>
      </c>
      <c r="P575" s="2">
        <v>111.81</v>
      </c>
      <c r="Q575" s="2">
        <v>106.34</v>
      </c>
    </row>
    <row r="576" spans="1:17" x14ac:dyDescent="0.45">
      <c r="A576" s="1">
        <v>44440</v>
      </c>
      <c r="B576">
        <v>2021</v>
      </c>
      <c r="C576">
        <v>12</v>
      </c>
      <c r="D576" t="s">
        <v>21</v>
      </c>
      <c r="E576" s="2">
        <v>8000000</v>
      </c>
      <c r="F576" s="2">
        <v>629172.97</v>
      </c>
      <c r="G576" s="2">
        <v>417238.54</v>
      </c>
      <c r="H576" s="2">
        <v>176689.45</v>
      </c>
      <c r="I576" s="2">
        <v>27085.57</v>
      </c>
      <c r="J576">
        <v>64</v>
      </c>
      <c r="K576">
        <v>2</v>
      </c>
      <c r="L576">
        <v>25</v>
      </c>
      <c r="M576">
        <v>5</v>
      </c>
      <c r="N576">
        <v>22</v>
      </c>
      <c r="O576" s="2">
        <v>109926.42</v>
      </c>
      <c r="P576" s="2">
        <v>105.25</v>
      </c>
      <c r="Q576" s="2">
        <v>102.85</v>
      </c>
    </row>
    <row r="577" spans="1:17" x14ac:dyDescent="0.45">
      <c r="A577" s="1">
        <v>45139</v>
      </c>
      <c r="B577">
        <v>2023</v>
      </c>
      <c r="C577">
        <v>11</v>
      </c>
      <c r="D577" t="s">
        <v>17</v>
      </c>
      <c r="E577" s="2">
        <v>7820000</v>
      </c>
      <c r="F577" s="2">
        <v>610737.39</v>
      </c>
      <c r="G577" s="2">
        <v>330932.34000000003</v>
      </c>
      <c r="H577" s="2">
        <v>267255.87</v>
      </c>
      <c r="I577" s="2">
        <v>26507.5</v>
      </c>
      <c r="J577">
        <v>43</v>
      </c>
      <c r="K577">
        <v>4</v>
      </c>
      <c r="L577">
        <v>62</v>
      </c>
      <c r="M577">
        <v>2</v>
      </c>
      <c r="N577">
        <v>13</v>
      </c>
      <c r="O577" s="2">
        <v>53169.95</v>
      </c>
      <c r="P577" s="2">
        <v>103.36</v>
      </c>
      <c r="Q577" s="2">
        <v>109.02</v>
      </c>
    </row>
    <row r="578" spans="1:17" x14ac:dyDescent="0.45">
      <c r="A578" s="1">
        <v>44713</v>
      </c>
      <c r="B578">
        <v>2022</v>
      </c>
      <c r="C578">
        <v>9</v>
      </c>
      <c r="D578" t="s">
        <v>27</v>
      </c>
      <c r="E578" s="2">
        <v>25875000</v>
      </c>
      <c r="F578" s="2">
        <v>2098521.4</v>
      </c>
      <c r="G578" s="2">
        <v>1648251.02</v>
      </c>
      <c r="H578" s="2">
        <v>475100.2</v>
      </c>
      <c r="I578" s="2">
        <v>84477.57</v>
      </c>
      <c r="J578">
        <v>202</v>
      </c>
      <c r="K578">
        <v>14</v>
      </c>
      <c r="L578">
        <v>976</v>
      </c>
      <c r="M578">
        <v>7</v>
      </c>
      <c r="N578">
        <v>31</v>
      </c>
      <c r="O578" s="2">
        <v>420804.3</v>
      </c>
      <c r="P578" s="2">
        <v>113.6</v>
      </c>
      <c r="Q578" s="2">
        <v>105.09</v>
      </c>
    </row>
    <row r="579" spans="1:17" x14ac:dyDescent="0.45">
      <c r="A579" s="1">
        <v>45931</v>
      </c>
      <c r="B579">
        <v>2026</v>
      </c>
      <c r="C579">
        <v>1</v>
      </c>
      <c r="D579" t="s">
        <v>21</v>
      </c>
      <c r="E579" s="2">
        <v>9501000</v>
      </c>
      <c r="F579" s="2">
        <v>797553.43</v>
      </c>
      <c r="G579" s="2">
        <v>518000.01</v>
      </c>
      <c r="H579" s="2">
        <v>252316.14</v>
      </c>
      <c r="I579" s="2">
        <v>39650.53</v>
      </c>
      <c r="J579">
        <v>67</v>
      </c>
      <c r="K579">
        <v>5</v>
      </c>
      <c r="L579">
        <v>37</v>
      </c>
      <c r="M579">
        <v>2</v>
      </c>
      <c r="N579">
        <v>15</v>
      </c>
      <c r="O579" s="2">
        <v>62572.83</v>
      </c>
      <c r="P579" s="2">
        <v>123.7</v>
      </c>
      <c r="Q579" s="2">
        <v>118.19</v>
      </c>
    </row>
    <row r="580" spans="1:17" x14ac:dyDescent="0.45">
      <c r="A580" s="1">
        <v>44378</v>
      </c>
      <c r="B580">
        <v>2021</v>
      </c>
      <c r="C580">
        <v>10</v>
      </c>
      <c r="D580" t="s">
        <v>27</v>
      </c>
      <c r="E580" s="2">
        <v>25000000</v>
      </c>
      <c r="F580" s="2">
        <v>1995126</v>
      </c>
      <c r="G580" s="2">
        <v>1621807.4</v>
      </c>
      <c r="H580" s="2">
        <v>381748.95</v>
      </c>
      <c r="I580" s="2">
        <v>37588.230000000003</v>
      </c>
      <c r="J580">
        <v>203</v>
      </c>
      <c r="K580">
        <v>18</v>
      </c>
      <c r="L580">
        <v>890</v>
      </c>
      <c r="M580">
        <v>9</v>
      </c>
      <c r="N580">
        <v>34</v>
      </c>
      <c r="O580" s="2">
        <v>546724.69999999995</v>
      </c>
      <c r="P580" s="2">
        <v>106.22</v>
      </c>
      <c r="Q580" s="2">
        <v>101.46</v>
      </c>
    </row>
    <row r="581" spans="1:17" x14ac:dyDescent="0.45">
      <c r="A581" s="1">
        <v>45717</v>
      </c>
      <c r="B581">
        <v>2025</v>
      </c>
      <c r="C581">
        <v>6</v>
      </c>
      <c r="D581" t="s">
        <v>23</v>
      </c>
      <c r="E581" s="2">
        <v>21803000</v>
      </c>
      <c r="F581" s="2">
        <v>1712596.87</v>
      </c>
      <c r="G581" s="2">
        <v>835478.91</v>
      </c>
      <c r="H581" s="2">
        <v>813679.37</v>
      </c>
      <c r="I581" s="2">
        <v>72505.8</v>
      </c>
      <c r="J581">
        <v>97</v>
      </c>
      <c r="K581">
        <v>8</v>
      </c>
      <c r="L581">
        <v>413</v>
      </c>
      <c r="M581">
        <v>5</v>
      </c>
      <c r="N581">
        <v>23</v>
      </c>
      <c r="O581" s="2">
        <v>348850.6</v>
      </c>
      <c r="P581" s="2">
        <v>112.86</v>
      </c>
      <c r="Q581" s="2">
        <v>115.5</v>
      </c>
    </row>
    <row r="582" spans="1:17" x14ac:dyDescent="0.45">
      <c r="A582" s="1">
        <v>45200</v>
      </c>
      <c r="B582">
        <v>2024</v>
      </c>
      <c r="C582">
        <v>1</v>
      </c>
      <c r="D582" t="s">
        <v>19</v>
      </c>
      <c r="E582" s="2">
        <v>5322000</v>
      </c>
      <c r="F582" s="2">
        <v>456694.74</v>
      </c>
      <c r="G582" s="2">
        <v>399691.72</v>
      </c>
      <c r="H582" s="2">
        <v>65775.92</v>
      </c>
      <c r="I582" s="2">
        <v>3846.72</v>
      </c>
      <c r="J582">
        <v>38</v>
      </c>
      <c r="K582">
        <v>3</v>
      </c>
      <c r="L582">
        <v>71</v>
      </c>
      <c r="M582">
        <v>1</v>
      </c>
      <c r="N582">
        <v>13</v>
      </c>
      <c r="O582" s="2">
        <v>26371.41</v>
      </c>
      <c r="P582" s="2">
        <v>100.51</v>
      </c>
      <c r="Q582" s="2">
        <v>110.53</v>
      </c>
    </row>
    <row r="583" spans="1:17" x14ac:dyDescent="0.45">
      <c r="A583" s="1">
        <v>44958</v>
      </c>
      <c r="B583">
        <v>2023</v>
      </c>
      <c r="C583">
        <v>5</v>
      </c>
      <c r="D583" t="s">
        <v>23</v>
      </c>
      <c r="E583" s="2">
        <v>20353000</v>
      </c>
      <c r="F583" s="2">
        <v>1653682.47</v>
      </c>
      <c r="G583" s="2">
        <v>785219.35</v>
      </c>
      <c r="H583" s="2">
        <v>741172.35</v>
      </c>
      <c r="I583" s="2">
        <v>115559.59</v>
      </c>
      <c r="J583">
        <v>100</v>
      </c>
      <c r="K583">
        <v>5</v>
      </c>
      <c r="L583">
        <v>336</v>
      </c>
      <c r="M583">
        <v>9</v>
      </c>
      <c r="N583">
        <v>32</v>
      </c>
      <c r="O583" s="2">
        <v>430389.61</v>
      </c>
      <c r="P583" s="2">
        <v>104.96</v>
      </c>
      <c r="Q583" s="2">
        <v>107.01</v>
      </c>
    </row>
    <row r="584" spans="1:17" x14ac:dyDescent="0.45">
      <c r="A584" s="1">
        <v>44197</v>
      </c>
      <c r="B584">
        <v>2021</v>
      </c>
      <c r="C584">
        <v>4</v>
      </c>
      <c r="D584" t="s">
        <v>25</v>
      </c>
      <c r="E584" s="2">
        <v>4200000</v>
      </c>
      <c r="F584" s="2">
        <v>327473.89</v>
      </c>
      <c r="G584" s="2">
        <v>266230.96999999997</v>
      </c>
      <c r="H584" s="2">
        <v>54479.8</v>
      </c>
      <c r="I584" s="2">
        <v>3269.59</v>
      </c>
      <c r="J584">
        <v>30</v>
      </c>
      <c r="K584">
        <v>3</v>
      </c>
      <c r="L584">
        <v>40</v>
      </c>
      <c r="M584">
        <v>4</v>
      </c>
      <c r="N584">
        <v>15</v>
      </c>
      <c r="O584" s="2">
        <v>45760.61</v>
      </c>
      <c r="P584" s="2">
        <v>95.11</v>
      </c>
      <c r="Q584" s="2">
        <v>99.59</v>
      </c>
    </row>
    <row r="585" spans="1:17" x14ac:dyDescent="0.45">
      <c r="A585" s="1">
        <v>44409</v>
      </c>
      <c r="B585">
        <v>2021</v>
      </c>
      <c r="C585">
        <v>11</v>
      </c>
      <c r="D585" t="s">
        <v>18</v>
      </c>
      <c r="E585" s="2">
        <v>3500000</v>
      </c>
      <c r="F585" s="2">
        <v>290360.12</v>
      </c>
      <c r="G585" s="2">
        <v>249765.7</v>
      </c>
      <c r="H585" s="2">
        <v>41263.519999999997</v>
      </c>
      <c r="I585" s="2">
        <v>5798.38</v>
      </c>
      <c r="J585">
        <v>27</v>
      </c>
      <c r="K585">
        <v>4</v>
      </c>
      <c r="L585">
        <v>33</v>
      </c>
      <c r="M585">
        <v>2</v>
      </c>
      <c r="N585">
        <v>8</v>
      </c>
      <c r="O585" s="2">
        <v>16667.68</v>
      </c>
      <c r="P585" s="2">
        <v>106.33</v>
      </c>
      <c r="Q585" s="2">
        <v>101.53</v>
      </c>
    </row>
    <row r="586" spans="1:17" x14ac:dyDescent="0.45">
      <c r="A586" s="1">
        <v>45200</v>
      </c>
      <c r="B586">
        <v>2024</v>
      </c>
      <c r="C586">
        <v>1</v>
      </c>
      <c r="D586" t="s">
        <v>28</v>
      </c>
      <c r="E586" s="2">
        <v>24392000</v>
      </c>
      <c r="F586" s="2">
        <v>2125167.73</v>
      </c>
      <c r="G586" s="2">
        <v>1693335.87</v>
      </c>
      <c r="H586" s="2">
        <v>401087.5</v>
      </c>
      <c r="I586" s="2">
        <v>35377.19</v>
      </c>
      <c r="J586">
        <v>181</v>
      </c>
      <c r="K586">
        <v>16</v>
      </c>
      <c r="L586">
        <v>738</v>
      </c>
      <c r="M586">
        <v>9</v>
      </c>
      <c r="N586">
        <v>36</v>
      </c>
      <c r="O586" s="2">
        <v>566722.35</v>
      </c>
      <c r="P586" s="2">
        <v>100.77</v>
      </c>
      <c r="Q586" s="2">
        <v>110.42</v>
      </c>
    </row>
    <row r="587" spans="1:17" x14ac:dyDescent="0.45">
      <c r="A587" s="1">
        <v>45017</v>
      </c>
      <c r="B587">
        <v>2023</v>
      </c>
      <c r="C587">
        <v>7</v>
      </c>
      <c r="D587" t="s">
        <v>21</v>
      </c>
      <c r="E587" s="2">
        <v>8570000</v>
      </c>
      <c r="F587" s="2">
        <v>607073.81999999995</v>
      </c>
      <c r="G587" s="2">
        <v>415510.22</v>
      </c>
      <c r="H587" s="2">
        <v>211510.28</v>
      </c>
      <c r="I587" s="2">
        <v>26615.03</v>
      </c>
      <c r="J587">
        <v>60</v>
      </c>
      <c r="K587">
        <v>6</v>
      </c>
      <c r="L587">
        <v>73</v>
      </c>
      <c r="M587">
        <v>4</v>
      </c>
      <c r="N587">
        <v>19</v>
      </c>
      <c r="O587" s="2">
        <v>111344.58</v>
      </c>
      <c r="P587" s="2">
        <v>108.89</v>
      </c>
      <c r="Q587" s="2">
        <v>107.84</v>
      </c>
    </row>
    <row r="588" spans="1:17" x14ac:dyDescent="0.45">
      <c r="A588" s="1">
        <v>44621</v>
      </c>
      <c r="B588">
        <v>2022</v>
      </c>
      <c r="C588">
        <v>6</v>
      </c>
      <c r="D588" t="s">
        <v>25</v>
      </c>
      <c r="E588" s="2">
        <v>4347000</v>
      </c>
      <c r="F588" s="2">
        <v>372361.37</v>
      </c>
      <c r="G588" s="2">
        <v>295938.31</v>
      </c>
      <c r="H588" s="2">
        <v>68371.710000000006</v>
      </c>
      <c r="I588" s="2">
        <v>3602.02</v>
      </c>
      <c r="J588">
        <v>33</v>
      </c>
      <c r="K588">
        <v>5</v>
      </c>
      <c r="L588">
        <v>38</v>
      </c>
      <c r="M588">
        <v>0</v>
      </c>
      <c r="N588">
        <v>7</v>
      </c>
      <c r="O588" s="2">
        <v>5857.24</v>
      </c>
      <c r="P588" s="2">
        <v>112.05</v>
      </c>
      <c r="Q588" s="2">
        <v>104.19</v>
      </c>
    </row>
    <row r="589" spans="1:17" x14ac:dyDescent="0.45">
      <c r="A589" s="1">
        <v>44774</v>
      </c>
      <c r="B589">
        <v>2022</v>
      </c>
      <c r="C589">
        <v>11</v>
      </c>
      <c r="D589" t="s">
        <v>22</v>
      </c>
      <c r="E589" s="2">
        <v>6417000</v>
      </c>
      <c r="F589" s="2">
        <v>509435.9</v>
      </c>
      <c r="G589" s="2">
        <v>257434.21</v>
      </c>
      <c r="H589" s="2">
        <v>209946.22</v>
      </c>
      <c r="I589" s="2">
        <v>27264.7</v>
      </c>
      <c r="J589">
        <v>29</v>
      </c>
      <c r="K589">
        <v>0</v>
      </c>
      <c r="L589">
        <v>71</v>
      </c>
      <c r="M589">
        <v>0</v>
      </c>
      <c r="N589">
        <v>10</v>
      </c>
      <c r="O589" s="2">
        <v>11000.83</v>
      </c>
      <c r="P589" s="2">
        <v>109.37</v>
      </c>
      <c r="Q589" s="2">
        <v>104.83</v>
      </c>
    </row>
    <row r="590" spans="1:17" x14ac:dyDescent="0.45">
      <c r="A590" s="1">
        <v>44501</v>
      </c>
      <c r="B590">
        <v>2022</v>
      </c>
      <c r="C590">
        <v>2</v>
      </c>
      <c r="D590" t="s">
        <v>22</v>
      </c>
      <c r="E590" s="2">
        <v>6417000</v>
      </c>
      <c r="F590" s="2">
        <v>524070.86</v>
      </c>
      <c r="G590" s="2">
        <v>243963.2</v>
      </c>
      <c r="H590" s="2">
        <v>269796.78000000003</v>
      </c>
      <c r="I590" s="2">
        <v>10540.15</v>
      </c>
      <c r="J590">
        <v>29</v>
      </c>
      <c r="K590">
        <v>0</v>
      </c>
      <c r="L590">
        <v>44</v>
      </c>
      <c r="M590">
        <v>0</v>
      </c>
      <c r="N590">
        <v>12</v>
      </c>
      <c r="O590" s="2">
        <v>10103.950000000001</v>
      </c>
      <c r="P590" s="2">
        <v>113.89</v>
      </c>
      <c r="Q590" s="2">
        <v>102.87</v>
      </c>
    </row>
    <row r="591" spans="1:17" x14ac:dyDescent="0.45">
      <c r="A591" s="1">
        <v>44774</v>
      </c>
      <c r="B591">
        <v>2022</v>
      </c>
      <c r="C591">
        <v>11</v>
      </c>
      <c r="D591" t="s">
        <v>24</v>
      </c>
      <c r="E591" s="2">
        <v>13972000</v>
      </c>
      <c r="F591" s="2">
        <v>1262651.97</v>
      </c>
      <c r="G591" s="2">
        <v>527723.30000000005</v>
      </c>
      <c r="H591" s="2">
        <v>449702.58</v>
      </c>
      <c r="I591" s="2">
        <v>247537.64</v>
      </c>
      <c r="J591">
        <v>75</v>
      </c>
      <c r="K591">
        <v>6</v>
      </c>
      <c r="L591">
        <v>76</v>
      </c>
      <c r="M591">
        <v>4</v>
      </c>
      <c r="N591">
        <v>25</v>
      </c>
      <c r="O591" s="2">
        <v>168008.35</v>
      </c>
      <c r="P591" s="2">
        <v>113.49</v>
      </c>
      <c r="Q591" s="2">
        <v>105.94</v>
      </c>
    </row>
    <row r="592" spans="1:17" x14ac:dyDescent="0.45">
      <c r="A592" s="1">
        <v>44774</v>
      </c>
      <c r="B592">
        <v>2022</v>
      </c>
      <c r="C592">
        <v>11</v>
      </c>
      <c r="D592" t="s">
        <v>28</v>
      </c>
      <c r="E592" s="2">
        <v>22770000</v>
      </c>
      <c r="F592" s="2">
        <v>1928278.36</v>
      </c>
      <c r="G592" s="2">
        <v>1583265.14</v>
      </c>
      <c r="H592" s="2">
        <v>391490.05</v>
      </c>
      <c r="I592" s="2">
        <v>38806.99</v>
      </c>
      <c r="J592">
        <v>177</v>
      </c>
      <c r="K592">
        <v>14</v>
      </c>
      <c r="L592">
        <v>711</v>
      </c>
      <c r="M592">
        <v>6</v>
      </c>
      <c r="N592">
        <v>30</v>
      </c>
      <c r="O592" s="2">
        <v>380927.83</v>
      </c>
      <c r="P592" s="2">
        <v>107.8</v>
      </c>
      <c r="Q592" s="2">
        <v>106.45</v>
      </c>
    </row>
    <row r="593" spans="1:17" x14ac:dyDescent="0.45">
      <c r="A593" s="1">
        <v>45627</v>
      </c>
      <c r="B593">
        <v>2025</v>
      </c>
      <c r="C593">
        <v>3</v>
      </c>
      <c r="D593" t="s">
        <v>24</v>
      </c>
      <c r="E593" s="2">
        <v>15492000</v>
      </c>
      <c r="F593" s="2">
        <v>1428915.54</v>
      </c>
      <c r="G593" s="2">
        <v>648650.15</v>
      </c>
      <c r="H593" s="2">
        <v>673679.19</v>
      </c>
      <c r="I593" s="2">
        <v>58523</v>
      </c>
      <c r="J593">
        <v>81</v>
      </c>
      <c r="K593">
        <v>5</v>
      </c>
      <c r="L593">
        <v>105</v>
      </c>
      <c r="M593">
        <v>6</v>
      </c>
      <c r="N593">
        <v>23</v>
      </c>
      <c r="O593" s="2">
        <v>193300.4</v>
      </c>
      <c r="P593" s="2">
        <v>110.02</v>
      </c>
      <c r="Q593" s="2">
        <v>114.8</v>
      </c>
    </row>
    <row r="594" spans="1:17" x14ac:dyDescent="0.45">
      <c r="A594" s="1">
        <v>45383</v>
      </c>
      <c r="B594">
        <v>2024</v>
      </c>
      <c r="C594">
        <v>7</v>
      </c>
      <c r="D594" t="s">
        <v>26</v>
      </c>
      <c r="E594" s="2">
        <v>8870000</v>
      </c>
      <c r="F594" s="2">
        <v>721906.21</v>
      </c>
      <c r="G594" s="2">
        <v>469269.75</v>
      </c>
      <c r="H594" s="2">
        <v>226392.44</v>
      </c>
      <c r="I594" s="2">
        <v>15573.01</v>
      </c>
      <c r="J594">
        <v>65</v>
      </c>
      <c r="K594">
        <v>4</v>
      </c>
      <c r="L594">
        <v>98</v>
      </c>
      <c r="M594">
        <v>4</v>
      </c>
      <c r="N594">
        <v>18</v>
      </c>
      <c r="O594" s="2">
        <v>96252.160000000003</v>
      </c>
      <c r="P594" s="2">
        <v>102.16</v>
      </c>
      <c r="Q594" s="2">
        <v>112.17</v>
      </c>
    </row>
    <row r="595" spans="1:17" x14ac:dyDescent="0.45">
      <c r="A595" s="1">
        <v>45383</v>
      </c>
      <c r="B595">
        <v>2024</v>
      </c>
      <c r="C595">
        <v>7</v>
      </c>
      <c r="D595" t="s">
        <v>17</v>
      </c>
      <c r="E595" s="2">
        <v>8094000</v>
      </c>
      <c r="F595" s="2">
        <v>650276.49</v>
      </c>
      <c r="G595" s="2">
        <v>379413.52</v>
      </c>
      <c r="H595" s="2">
        <v>253504.06</v>
      </c>
      <c r="I595" s="2">
        <v>29622.06</v>
      </c>
      <c r="J595">
        <v>46</v>
      </c>
      <c r="K595">
        <v>4</v>
      </c>
      <c r="L595">
        <v>73</v>
      </c>
      <c r="M595">
        <v>3</v>
      </c>
      <c r="N595">
        <v>18</v>
      </c>
      <c r="O595" s="2">
        <v>58703.09</v>
      </c>
      <c r="P595" s="2">
        <v>100.9</v>
      </c>
      <c r="Q595" s="2">
        <v>112.17</v>
      </c>
    </row>
    <row r="596" spans="1:17" x14ac:dyDescent="0.45">
      <c r="A596" s="1">
        <v>44743</v>
      </c>
      <c r="B596">
        <v>2022</v>
      </c>
      <c r="C596">
        <v>10</v>
      </c>
      <c r="D596" t="s">
        <v>27</v>
      </c>
      <c r="E596" s="2">
        <v>25875000</v>
      </c>
      <c r="F596" s="2">
        <v>2440975.98</v>
      </c>
      <c r="G596" s="2">
        <v>1799287.81</v>
      </c>
      <c r="H596" s="2">
        <v>493012.99</v>
      </c>
      <c r="I596" s="2">
        <v>53718.35</v>
      </c>
      <c r="J596">
        <v>215</v>
      </c>
      <c r="K596">
        <v>17</v>
      </c>
      <c r="L596">
        <v>872</v>
      </c>
      <c r="M596">
        <v>8</v>
      </c>
      <c r="N596">
        <v>34</v>
      </c>
      <c r="O596" s="2">
        <v>662709.02</v>
      </c>
      <c r="P596" s="2">
        <v>105.79</v>
      </c>
      <c r="Q596" s="2">
        <v>104.96</v>
      </c>
    </row>
    <row r="597" spans="1:17" x14ac:dyDescent="0.45">
      <c r="A597" s="1">
        <v>44317</v>
      </c>
      <c r="B597">
        <v>2021</v>
      </c>
      <c r="C597">
        <v>8</v>
      </c>
      <c r="D597" t="s">
        <v>19</v>
      </c>
      <c r="E597" s="2">
        <v>4800000</v>
      </c>
      <c r="F597" s="2">
        <v>396345.38</v>
      </c>
      <c r="G597" s="2">
        <v>332551.95</v>
      </c>
      <c r="H597" s="2">
        <v>56178.79</v>
      </c>
      <c r="I597" s="2">
        <v>3291.46</v>
      </c>
      <c r="J597">
        <v>37</v>
      </c>
      <c r="K597">
        <v>2</v>
      </c>
      <c r="L597">
        <v>0</v>
      </c>
      <c r="M597">
        <v>1</v>
      </c>
      <c r="N597">
        <v>13</v>
      </c>
      <c r="O597" s="2">
        <v>13621.32</v>
      </c>
      <c r="P597" s="2">
        <v>107.52</v>
      </c>
      <c r="Q597" s="2">
        <v>100.45</v>
      </c>
    </row>
    <row r="598" spans="1:17" x14ac:dyDescent="0.45">
      <c r="A598" s="1">
        <v>45566</v>
      </c>
      <c r="B598">
        <v>2025</v>
      </c>
      <c r="C598">
        <v>1</v>
      </c>
      <c r="D598" t="s">
        <v>18</v>
      </c>
      <c r="E598" s="2">
        <v>4016000</v>
      </c>
      <c r="F598" s="2">
        <v>350603.11</v>
      </c>
      <c r="G598" s="2">
        <v>301960.63</v>
      </c>
      <c r="H598" s="2">
        <v>45984.86</v>
      </c>
      <c r="I598" s="2">
        <v>4736.34</v>
      </c>
      <c r="J598">
        <v>29</v>
      </c>
      <c r="K598">
        <v>6</v>
      </c>
      <c r="L598">
        <v>32</v>
      </c>
      <c r="M598">
        <v>0</v>
      </c>
      <c r="N598">
        <v>12</v>
      </c>
      <c r="O598" s="2">
        <v>7405.16</v>
      </c>
      <c r="P598" s="2">
        <v>103.17</v>
      </c>
      <c r="Q598" s="2">
        <v>113.96</v>
      </c>
    </row>
    <row r="599" spans="1:17" x14ac:dyDescent="0.45">
      <c r="A599" s="1">
        <v>45717</v>
      </c>
      <c r="B599">
        <v>2025</v>
      </c>
      <c r="C599">
        <v>6</v>
      </c>
      <c r="D599" t="s">
        <v>17</v>
      </c>
      <c r="E599" s="2">
        <v>8377000</v>
      </c>
      <c r="F599" s="2">
        <v>659521.61</v>
      </c>
      <c r="G599" s="2">
        <v>365971.34</v>
      </c>
      <c r="H599" s="2">
        <v>251752.77</v>
      </c>
      <c r="I599" s="2">
        <v>42311.18</v>
      </c>
      <c r="J599">
        <v>45</v>
      </c>
      <c r="K599">
        <v>2</v>
      </c>
      <c r="L599">
        <v>48</v>
      </c>
      <c r="M599">
        <v>4</v>
      </c>
      <c r="N599">
        <v>15</v>
      </c>
      <c r="O599" s="2">
        <v>72823.16</v>
      </c>
      <c r="P599" s="2">
        <v>113.38</v>
      </c>
      <c r="Q599" s="2">
        <v>115.88</v>
      </c>
    </row>
    <row r="600" spans="1:17" x14ac:dyDescent="0.45">
      <c r="A600" s="1">
        <v>44256</v>
      </c>
      <c r="B600">
        <v>2021</v>
      </c>
      <c r="C600">
        <v>6</v>
      </c>
      <c r="D600" t="s">
        <v>19</v>
      </c>
      <c r="E600" s="2">
        <v>4800000</v>
      </c>
      <c r="F600" s="2">
        <v>406656.99</v>
      </c>
      <c r="G600" s="2">
        <v>344574.52</v>
      </c>
      <c r="H600" s="2">
        <v>60250.71</v>
      </c>
      <c r="I600" s="2">
        <v>2573.4499999999998</v>
      </c>
      <c r="J600">
        <v>36</v>
      </c>
      <c r="K600">
        <v>6</v>
      </c>
      <c r="L600">
        <v>56</v>
      </c>
      <c r="M600">
        <v>5</v>
      </c>
      <c r="N600">
        <v>18</v>
      </c>
      <c r="O600" s="2">
        <v>62622.48</v>
      </c>
      <c r="P600" s="2">
        <v>102.57</v>
      </c>
      <c r="Q600" s="2">
        <v>100.75</v>
      </c>
    </row>
    <row r="601" spans="1:17" x14ac:dyDescent="0.45">
      <c r="A601" s="1">
        <v>44835</v>
      </c>
      <c r="B601">
        <v>2023</v>
      </c>
      <c r="C601">
        <v>1</v>
      </c>
      <c r="D601" t="s">
        <v>17</v>
      </c>
      <c r="E601" s="2">
        <v>7820000</v>
      </c>
      <c r="F601" s="2">
        <v>617422.55000000005</v>
      </c>
      <c r="G601" s="2">
        <v>322267.94</v>
      </c>
      <c r="H601" s="2">
        <v>260630.5</v>
      </c>
      <c r="I601" s="2">
        <v>43628.28</v>
      </c>
      <c r="J601">
        <v>42</v>
      </c>
      <c r="K601">
        <v>5</v>
      </c>
      <c r="L601">
        <v>89</v>
      </c>
      <c r="M601">
        <v>2</v>
      </c>
      <c r="N601">
        <v>12</v>
      </c>
      <c r="O601" s="2">
        <v>43415.27</v>
      </c>
      <c r="P601" s="2">
        <v>108.82</v>
      </c>
      <c r="Q601" s="2">
        <v>106.01</v>
      </c>
    </row>
    <row r="602" spans="1:17" x14ac:dyDescent="0.45">
      <c r="A602" s="1">
        <v>45931</v>
      </c>
      <c r="B602">
        <v>2026</v>
      </c>
      <c r="C602">
        <v>1</v>
      </c>
      <c r="D602" t="s">
        <v>24</v>
      </c>
      <c r="E602" s="2">
        <v>16034000</v>
      </c>
      <c r="F602" s="2">
        <v>1456160.56</v>
      </c>
      <c r="G602" s="2">
        <v>671224.29</v>
      </c>
      <c r="H602" s="2">
        <v>493771.68</v>
      </c>
      <c r="I602" s="2">
        <v>297689.40000000002</v>
      </c>
      <c r="J602">
        <v>84</v>
      </c>
      <c r="K602">
        <v>9</v>
      </c>
      <c r="L602">
        <v>100</v>
      </c>
      <c r="M602">
        <v>6</v>
      </c>
      <c r="N602">
        <v>21</v>
      </c>
      <c r="O602" s="2">
        <v>171138.31</v>
      </c>
      <c r="P602" s="2">
        <v>118.26</v>
      </c>
      <c r="Q602" s="2">
        <v>118.44</v>
      </c>
    </row>
    <row r="603" spans="1:17" x14ac:dyDescent="0.45">
      <c r="A603" s="1">
        <v>44927</v>
      </c>
      <c r="B603">
        <v>2023</v>
      </c>
      <c r="C603">
        <v>4</v>
      </c>
      <c r="D603" t="s">
        <v>19</v>
      </c>
      <c r="E603" s="2">
        <v>5142000</v>
      </c>
      <c r="F603" s="2">
        <v>415251.87</v>
      </c>
      <c r="G603" s="2">
        <v>355733.68</v>
      </c>
      <c r="H603" s="2">
        <v>60862.22</v>
      </c>
      <c r="I603" s="2">
        <v>7392.52</v>
      </c>
      <c r="J603">
        <v>38</v>
      </c>
      <c r="K603">
        <v>4</v>
      </c>
      <c r="L603">
        <v>58</v>
      </c>
      <c r="M603">
        <v>1</v>
      </c>
      <c r="N603">
        <v>10</v>
      </c>
      <c r="O603" s="2">
        <v>12126.14</v>
      </c>
      <c r="P603" s="2">
        <v>107.48</v>
      </c>
      <c r="Q603" s="2">
        <v>107.04</v>
      </c>
    </row>
    <row r="604" spans="1:17" x14ac:dyDescent="0.45">
      <c r="A604" s="1">
        <v>45809</v>
      </c>
      <c r="B604">
        <v>2025</v>
      </c>
      <c r="C604">
        <v>9</v>
      </c>
      <c r="D604" t="s">
        <v>22</v>
      </c>
      <c r="E604" s="2">
        <v>7115000</v>
      </c>
      <c r="F604" s="2">
        <v>763905.65</v>
      </c>
      <c r="G604" s="2">
        <v>296126.63</v>
      </c>
      <c r="H604" s="2">
        <v>257809.77</v>
      </c>
      <c r="I604" s="2">
        <v>201344.32</v>
      </c>
      <c r="J604">
        <v>32</v>
      </c>
      <c r="K604">
        <v>0</v>
      </c>
      <c r="L604">
        <v>49</v>
      </c>
      <c r="M604">
        <v>2</v>
      </c>
      <c r="N604">
        <v>15</v>
      </c>
      <c r="O604" s="2">
        <v>44716.160000000003</v>
      </c>
      <c r="P604" s="2">
        <v>117.09</v>
      </c>
      <c r="Q604" s="2">
        <v>116.65</v>
      </c>
    </row>
    <row r="605" spans="1:17" x14ac:dyDescent="0.45">
      <c r="A605" s="1">
        <v>44287</v>
      </c>
      <c r="B605">
        <v>2021</v>
      </c>
      <c r="C605">
        <v>7</v>
      </c>
      <c r="D605" t="s">
        <v>23</v>
      </c>
      <c r="E605" s="2">
        <v>19000000</v>
      </c>
      <c r="F605" s="2">
        <v>1578515.43</v>
      </c>
      <c r="G605" s="2">
        <v>705662.57</v>
      </c>
      <c r="H605" s="2">
        <v>857084.65</v>
      </c>
      <c r="I605" s="2">
        <v>44105.33</v>
      </c>
      <c r="J605">
        <v>92</v>
      </c>
      <c r="K605">
        <v>8</v>
      </c>
      <c r="L605">
        <v>332</v>
      </c>
      <c r="M605">
        <v>8</v>
      </c>
      <c r="N605">
        <v>31</v>
      </c>
      <c r="O605" s="2">
        <v>444515.59</v>
      </c>
      <c r="P605" s="2">
        <v>103.57</v>
      </c>
      <c r="Q605" s="2">
        <v>101.11</v>
      </c>
    </row>
    <row r="606" spans="1:17" x14ac:dyDescent="0.45">
      <c r="A606" s="1">
        <v>44774</v>
      </c>
      <c r="B606">
        <v>2022</v>
      </c>
      <c r="C606">
        <v>11</v>
      </c>
      <c r="D606" t="s">
        <v>19</v>
      </c>
      <c r="E606" s="2">
        <v>4968000</v>
      </c>
      <c r="F606" s="2">
        <v>426539.45</v>
      </c>
      <c r="G606" s="2">
        <v>352697.04</v>
      </c>
      <c r="H606" s="2">
        <v>64011.42</v>
      </c>
      <c r="I606" s="2">
        <v>8524.5499999999993</v>
      </c>
      <c r="J606">
        <v>36</v>
      </c>
      <c r="K606">
        <v>3</v>
      </c>
      <c r="L606">
        <v>59</v>
      </c>
      <c r="M606">
        <v>2</v>
      </c>
      <c r="N606">
        <v>17</v>
      </c>
      <c r="O606" s="2">
        <v>34424.75</v>
      </c>
      <c r="P606" s="2">
        <v>107.87</v>
      </c>
      <c r="Q606" s="2">
        <v>105.9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06E65-FD88-4271-B8A8-CB0DC1E75097}">
  <dimension ref="A1:AP614"/>
  <sheetViews>
    <sheetView tabSelected="1" zoomScaleNormal="100" workbookViewId="0">
      <selection activeCell="A4" sqref="A4"/>
    </sheetView>
  </sheetViews>
  <sheetFormatPr defaultRowHeight="14.25" x14ac:dyDescent="0.45"/>
  <cols>
    <col min="1" max="1" width="12.3984375" customWidth="1"/>
    <col min="2" max="2" width="155.19921875" bestFit="1" customWidth="1"/>
    <col min="4" max="4" width="8.9296875" bestFit="1" customWidth="1"/>
    <col min="5" max="5" width="11.1328125" bestFit="1" customWidth="1"/>
    <col min="6" max="6" width="20.6640625" bestFit="1" customWidth="1"/>
    <col min="7" max="7" width="15.86328125" bestFit="1" customWidth="1"/>
    <col min="8" max="8" width="20.6640625" bestFit="1" customWidth="1"/>
    <col min="9" max="9" width="15.86328125" bestFit="1" customWidth="1"/>
    <col min="10" max="10" width="13.06640625" bestFit="1" customWidth="1"/>
    <col min="11" max="11" width="12.9296875" bestFit="1" customWidth="1"/>
    <col min="12" max="12" width="10.796875" bestFit="1" customWidth="1"/>
    <col min="13" max="13" width="13.1328125" bestFit="1" customWidth="1"/>
    <col min="14" max="14" width="14.265625" bestFit="1" customWidth="1"/>
    <col min="15" max="15" width="13.46484375" bestFit="1" customWidth="1"/>
    <col min="16" max="16" width="12.6640625" bestFit="1" customWidth="1"/>
    <col min="17" max="17" width="19.19921875" bestFit="1" customWidth="1"/>
    <col min="18" max="18" width="17.73046875" bestFit="1" customWidth="1"/>
    <col min="19" max="19" width="13.86328125" bestFit="1" customWidth="1"/>
    <col min="20" max="20" width="8.3984375" bestFit="1" customWidth="1"/>
  </cols>
  <sheetData>
    <row r="1" spans="1:42" ht="23.25" x14ac:dyDescent="0.7">
      <c r="A1" s="5" t="s">
        <v>30</v>
      </c>
      <c r="B1" s="6"/>
      <c r="C1" s="3"/>
      <c r="D1" s="3"/>
    </row>
    <row r="2" spans="1:42" x14ac:dyDescent="0.45">
      <c r="A2" s="4" t="e" cm="1" vm="1">
        <f t="array" ref="A2">_xlfn._xlws.PY(0,1,Deparment_Spending[#All])</f>
        <v>#VALUE!</v>
      </c>
      <c r="B2" s="4" t="s">
        <v>32</v>
      </c>
    </row>
    <row r="3" spans="1:42" x14ac:dyDescent="0.45">
      <c r="A3" s="4" cm="1" vm="2">
        <f t="array" ref="A3">_xlfn._xlws.PY(1,1)</f>
        <v>0</v>
      </c>
      <c r="B3" s="4" t="s">
        <v>34</v>
      </c>
    </row>
    <row r="4" spans="1:42" x14ac:dyDescent="0.45">
      <c r="A4" s="4" t="e" cm="1" vm="3">
        <f t="array" ref="A4">_xlfn._xlws.PY(2,1)</f>
        <v>#VALUE!</v>
      </c>
      <c r="B4" s="4" t="s">
        <v>33</v>
      </c>
    </row>
    <row r="5" spans="1:42" ht="23.75" customHeight="1" x14ac:dyDescent="0.45">
      <c r="A5" s="9" t="e" cm="1" vm="4">
        <f t="array" ref="A5">_xlfn._xlws.PY(3,1)</f>
        <v>#VALUE!</v>
      </c>
      <c r="B5" s="7" t="s">
        <v>35</v>
      </c>
    </row>
    <row r="6" spans="1:42" ht="23.75" customHeight="1" x14ac:dyDescent="0.45">
      <c r="A6" s="10"/>
      <c r="B6" s="8"/>
    </row>
    <row r="7" spans="1:42" x14ac:dyDescent="0.45">
      <c r="A7" t="e" cm="1" vm="5">
        <f t="array" ref="A7">_xlfn._xlws.PY(4,1)</f>
        <v>#VALUE!</v>
      </c>
    </row>
    <row r="8" spans="1:42" x14ac:dyDescent="0.45">
      <c r="A8" cm="1" vm="2">
        <f t="array" ref="A8">_xlfn._xlws.PY(5,1)</f>
        <v>0</v>
      </c>
    </row>
    <row r="9" spans="1:42" x14ac:dyDescent="0.45">
      <c r="A9" cm="1" vm="2">
        <f t="array" ref="A9">_xlfn._xlws.PY(6,1)</f>
        <v>0</v>
      </c>
      <c r="D9" t="str" cm="1">
        <f t="array" ref="D9:AP614">_xlfn._xlws.PY(7,0)</f>
        <v>Fiscal_Year</v>
      </c>
      <c r="E9" t="str">
        <v>Fiscal_Month</v>
      </c>
      <c r="F9" t="str">
        <v>Annual_Approved_Budget</v>
      </c>
      <c r="G9" t="str">
        <v>Actual_Expenditure</v>
      </c>
      <c r="H9" t="str">
        <v>Personnel_Cost</v>
      </c>
      <c r="I9" t="str">
        <v>Operating_Cost</v>
      </c>
      <c r="J9" t="str">
        <v>Capital_Cost</v>
      </c>
      <c r="K9" t="str">
        <v>Filled_Positions</v>
      </c>
      <c r="L9" t="str">
        <v>Vacant_Positions</v>
      </c>
      <c r="M9" t="str">
        <v>Overtime_Hours</v>
      </c>
      <c r="N9" t="str">
        <v>Active_Projects</v>
      </c>
      <c r="O9" t="str">
        <v>Open_Purchase_Orders</v>
      </c>
      <c r="P9" t="str">
        <v>Encumbered_Amount</v>
      </c>
      <c r="Q9" t="str">
        <v>Fuel_Price_Index</v>
      </c>
      <c r="R9" t="str">
        <v>CPI_Index</v>
      </c>
      <c r="S9" t="str">
        <v>Month_April</v>
      </c>
      <c r="T9" t="str">
        <v>Month_August</v>
      </c>
      <c r="U9" t="str">
        <v>Month_December</v>
      </c>
      <c r="V9" t="str">
        <v>Month_February</v>
      </c>
      <c r="W9" t="str">
        <v>Month_January</v>
      </c>
      <c r="X9" t="str">
        <v>Month_July</v>
      </c>
      <c r="Y9" t="str">
        <v>Month_June</v>
      </c>
      <c r="Z9" t="str">
        <v>Month_March</v>
      </c>
      <c r="AA9" t="str">
        <v>Month_May</v>
      </c>
      <c r="AB9" t="str">
        <v>Month_November</v>
      </c>
      <c r="AC9" t="str">
        <v>Month_September</v>
      </c>
      <c r="AD9" t="str">
        <v>Department_FINANCE</v>
      </c>
      <c r="AE9" t="str">
        <v>Department_FIRE &amp; RESCUE</v>
      </c>
      <c r="AF9" t="str">
        <v>Department_FIRE RESCUE</v>
      </c>
      <c r="AG9" t="str">
        <v>Department_GENERAL SERVICES</v>
      </c>
      <c r="AH9" t="str">
        <v>Department_INFORMATION TECHNOLOGY</v>
      </c>
      <c r="AI9" t="str">
        <v>Department_IT</v>
      </c>
      <c r="AJ9" t="str">
        <v>Department_PARKS &amp; RECREATION</v>
      </c>
      <c r="AK9" t="str">
        <v>Department_PARKS AND RECREATION</v>
      </c>
      <c r="AL9" t="str">
        <v>Department_PLANNING &amp; ZONING</v>
      </c>
      <c r="AM9" t="str">
        <v>Department_POLICE</v>
      </c>
      <c r="AN9" t="str">
        <v>Department_PUBLIC WORKS</v>
      </c>
      <c r="AO9" t="str">
        <v xml:space="preserve">Department_PUBLIC WORKS </v>
      </c>
      <c r="AP9" t="str">
        <v>Department_UTILITIES</v>
      </c>
    </row>
    <row r="10" spans="1:42" x14ac:dyDescent="0.45">
      <c r="D10">
        <v>2021</v>
      </c>
      <c r="E10">
        <v>4</v>
      </c>
      <c r="F10">
        <v>6200000</v>
      </c>
      <c r="G10">
        <v>563434.81999999995</v>
      </c>
      <c r="H10">
        <v>267323.62</v>
      </c>
      <c r="I10">
        <v>180598.12</v>
      </c>
      <c r="J10">
        <v>106717</v>
      </c>
      <c r="K10">
        <v>31</v>
      </c>
      <c r="L10">
        <v>1</v>
      </c>
      <c r="M10">
        <v>35</v>
      </c>
      <c r="N10">
        <v>3</v>
      </c>
      <c r="O10">
        <v>14</v>
      </c>
      <c r="P10">
        <v>52573.97</v>
      </c>
      <c r="Q10">
        <v>101.21</v>
      </c>
      <c r="R10">
        <v>100.11</v>
      </c>
      <c r="S10">
        <v>0</v>
      </c>
      <c r="T10">
        <v>0</v>
      </c>
      <c r="U10">
        <v>0</v>
      </c>
      <c r="V10">
        <v>0</v>
      </c>
      <c r="W10">
        <v>1</v>
      </c>
      <c r="X10">
        <v>0</v>
      </c>
      <c r="Y10">
        <v>0</v>
      </c>
      <c r="Z10">
        <v>0</v>
      </c>
      <c r="AA10">
        <v>0</v>
      </c>
      <c r="AB10">
        <v>0</v>
      </c>
      <c r="AC10">
        <v>0</v>
      </c>
      <c r="AD10">
        <v>0</v>
      </c>
      <c r="AE10">
        <v>0</v>
      </c>
      <c r="AF10">
        <v>0</v>
      </c>
      <c r="AG10">
        <v>0</v>
      </c>
      <c r="AH10">
        <v>1</v>
      </c>
      <c r="AI10">
        <v>0</v>
      </c>
      <c r="AJ10">
        <v>0</v>
      </c>
      <c r="AK10">
        <v>0</v>
      </c>
      <c r="AL10">
        <v>0</v>
      </c>
      <c r="AM10">
        <v>0</v>
      </c>
      <c r="AN10">
        <v>0</v>
      </c>
      <c r="AO10">
        <v>0</v>
      </c>
      <c r="AP10">
        <v>0</v>
      </c>
    </row>
    <row r="11" spans="1:42" x14ac:dyDescent="0.45">
      <c r="D11">
        <v>2021</v>
      </c>
      <c r="E11">
        <v>4</v>
      </c>
      <c r="F11">
        <v>4800000</v>
      </c>
      <c r="G11">
        <v>399304.71</v>
      </c>
      <c r="H11">
        <v>334574.15999999997</v>
      </c>
      <c r="I11">
        <v>54674.96</v>
      </c>
      <c r="J11">
        <v>10828.1</v>
      </c>
      <c r="K11">
        <v>36</v>
      </c>
      <c r="L11">
        <v>0</v>
      </c>
      <c r="M11">
        <v>2</v>
      </c>
      <c r="N11">
        <v>3</v>
      </c>
      <c r="O11">
        <v>15</v>
      </c>
      <c r="P11">
        <v>48324.5</v>
      </c>
      <c r="Q11">
        <v>104.43</v>
      </c>
      <c r="R11">
        <v>99.55</v>
      </c>
      <c r="S11">
        <v>0</v>
      </c>
      <c r="T11">
        <v>0</v>
      </c>
      <c r="U11">
        <v>0</v>
      </c>
      <c r="V11">
        <v>0</v>
      </c>
      <c r="W11">
        <v>1</v>
      </c>
      <c r="X11">
        <v>0</v>
      </c>
      <c r="Y11">
        <v>0</v>
      </c>
      <c r="Z11">
        <v>0</v>
      </c>
      <c r="AA11">
        <v>0</v>
      </c>
      <c r="AB11">
        <v>0</v>
      </c>
      <c r="AC11">
        <v>0</v>
      </c>
      <c r="AD11">
        <v>1</v>
      </c>
      <c r="AE11">
        <v>0</v>
      </c>
      <c r="AF11">
        <v>0</v>
      </c>
      <c r="AG11">
        <v>0</v>
      </c>
      <c r="AH11">
        <v>0</v>
      </c>
      <c r="AI11">
        <v>0</v>
      </c>
      <c r="AJ11">
        <v>0</v>
      </c>
      <c r="AK11">
        <v>0</v>
      </c>
      <c r="AL11">
        <v>0</v>
      </c>
      <c r="AM11">
        <v>0</v>
      </c>
      <c r="AN11">
        <v>0</v>
      </c>
      <c r="AO11">
        <v>0</v>
      </c>
      <c r="AP11">
        <v>0</v>
      </c>
    </row>
    <row r="12" spans="1:42" x14ac:dyDescent="0.45">
      <c r="D12">
        <v>2021</v>
      </c>
      <c r="E12">
        <v>4</v>
      </c>
      <c r="F12">
        <v>25000000</v>
      </c>
      <c r="G12">
        <v>2070400.89</v>
      </c>
      <c r="H12">
        <v>1505472.56</v>
      </c>
      <c r="I12">
        <v>389237.79</v>
      </c>
      <c r="J12">
        <v>26618.3</v>
      </c>
      <c r="K12">
        <v>198</v>
      </c>
      <c r="L12">
        <v>17</v>
      </c>
      <c r="M12">
        <v>745</v>
      </c>
      <c r="N12">
        <v>5</v>
      </c>
      <c r="O12">
        <v>26</v>
      </c>
      <c r="P12">
        <v>231951.51</v>
      </c>
      <c r="Q12">
        <v>99.77</v>
      </c>
      <c r="R12">
        <v>99.6</v>
      </c>
      <c r="S12">
        <v>0</v>
      </c>
      <c r="T12">
        <v>0</v>
      </c>
      <c r="U12">
        <v>0</v>
      </c>
      <c r="V12">
        <v>0</v>
      </c>
      <c r="W12">
        <v>1</v>
      </c>
      <c r="X12">
        <v>0</v>
      </c>
      <c r="Y12">
        <v>0</v>
      </c>
      <c r="Z12">
        <v>0</v>
      </c>
      <c r="AA12">
        <v>0</v>
      </c>
      <c r="AB12">
        <v>0</v>
      </c>
      <c r="AC12">
        <v>0</v>
      </c>
      <c r="AD12">
        <v>0</v>
      </c>
      <c r="AE12">
        <v>0</v>
      </c>
      <c r="AF12">
        <v>0</v>
      </c>
      <c r="AG12">
        <v>0</v>
      </c>
      <c r="AH12">
        <v>0</v>
      </c>
      <c r="AI12">
        <v>0</v>
      </c>
      <c r="AJ12">
        <v>0</v>
      </c>
      <c r="AK12">
        <v>0</v>
      </c>
      <c r="AL12">
        <v>0</v>
      </c>
      <c r="AM12">
        <v>1</v>
      </c>
      <c r="AN12">
        <v>0</v>
      </c>
      <c r="AO12">
        <v>0</v>
      </c>
      <c r="AP12">
        <v>0</v>
      </c>
    </row>
    <row r="13" spans="1:42" x14ac:dyDescent="0.45">
      <c r="D13">
        <v>2021</v>
      </c>
      <c r="E13">
        <v>4</v>
      </c>
      <c r="F13">
        <v>4200000</v>
      </c>
      <c r="G13">
        <v>327473.89</v>
      </c>
      <c r="H13">
        <v>266230.96999999997</v>
      </c>
      <c r="I13">
        <v>54479.8</v>
      </c>
      <c r="J13">
        <v>3269.59</v>
      </c>
      <c r="K13">
        <v>30</v>
      </c>
      <c r="L13">
        <v>3</v>
      </c>
      <c r="M13">
        <v>40</v>
      </c>
      <c r="N13">
        <v>4</v>
      </c>
      <c r="O13">
        <v>15</v>
      </c>
      <c r="P13">
        <v>45760.61</v>
      </c>
      <c r="Q13">
        <v>95.11</v>
      </c>
      <c r="R13">
        <v>99.59</v>
      </c>
      <c r="S13">
        <v>0</v>
      </c>
      <c r="T13">
        <v>0</v>
      </c>
      <c r="U13">
        <v>0</v>
      </c>
      <c r="V13">
        <v>0</v>
      </c>
      <c r="W13">
        <v>1</v>
      </c>
      <c r="X13">
        <v>0</v>
      </c>
      <c r="Y13">
        <v>0</v>
      </c>
      <c r="Z13">
        <v>0</v>
      </c>
      <c r="AA13">
        <v>0</v>
      </c>
      <c r="AB13">
        <v>0</v>
      </c>
      <c r="AC13">
        <v>0</v>
      </c>
      <c r="AD13">
        <v>0</v>
      </c>
      <c r="AE13">
        <v>0</v>
      </c>
      <c r="AF13">
        <v>0</v>
      </c>
      <c r="AG13">
        <v>0</v>
      </c>
      <c r="AH13">
        <v>0</v>
      </c>
      <c r="AI13">
        <v>0</v>
      </c>
      <c r="AJ13">
        <v>0</v>
      </c>
      <c r="AK13">
        <v>0</v>
      </c>
      <c r="AL13">
        <v>1</v>
      </c>
      <c r="AM13">
        <v>0</v>
      </c>
      <c r="AN13">
        <v>0</v>
      </c>
      <c r="AO13">
        <v>0</v>
      </c>
      <c r="AP13">
        <v>0</v>
      </c>
    </row>
    <row r="14" spans="1:42" x14ac:dyDescent="0.45">
      <c r="D14">
        <v>2021</v>
      </c>
      <c r="E14">
        <v>4</v>
      </c>
      <c r="F14">
        <v>7300000</v>
      </c>
      <c r="G14">
        <v>581909.26</v>
      </c>
      <c r="H14">
        <v>317339.01</v>
      </c>
      <c r="I14">
        <v>226796.91</v>
      </c>
      <c r="J14">
        <v>18783.810000000001</v>
      </c>
      <c r="K14">
        <v>44</v>
      </c>
      <c r="L14">
        <v>4</v>
      </c>
      <c r="M14">
        <v>63</v>
      </c>
      <c r="N14">
        <v>2</v>
      </c>
      <c r="O14">
        <v>15</v>
      </c>
      <c r="P14">
        <v>50278.87</v>
      </c>
      <c r="Q14">
        <v>100.24</v>
      </c>
      <c r="R14">
        <v>100.22</v>
      </c>
      <c r="S14">
        <v>0</v>
      </c>
      <c r="T14">
        <v>0</v>
      </c>
      <c r="U14">
        <v>0</v>
      </c>
      <c r="V14">
        <v>0</v>
      </c>
      <c r="W14">
        <v>1</v>
      </c>
      <c r="X14">
        <v>0</v>
      </c>
      <c r="Y14">
        <v>0</v>
      </c>
      <c r="Z14">
        <v>0</v>
      </c>
      <c r="AA14">
        <v>0</v>
      </c>
      <c r="AB14">
        <v>0</v>
      </c>
      <c r="AC14">
        <v>0</v>
      </c>
      <c r="AD14">
        <v>0</v>
      </c>
      <c r="AE14">
        <v>0</v>
      </c>
      <c r="AF14">
        <v>0</v>
      </c>
      <c r="AG14">
        <v>1</v>
      </c>
      <c r="AH14">
        <v>0</v>
      </c>
      <c r="AI14">
        <v>0</v>
      </c>
      <c r="AJ14">
        <v>0</v>
      </c>
      <c r="AK14">
        <v>0</v>
      </c>
      <c r="AL14">
        <v>0</v>
      </c>
      <c r="AM14">
        <v>0</v>
      </c>
      <c r="AN14">
        <v>0</v>
      </c>
      <c r="AO14">
        <v>0</v>
      </c>
      <c r="AP14">
        <v>0</v>
      </c>
    </row>
    <row r="15" spans="1:42" x14ac:dyDescent="0.45">
      <c r="D15">
        <v>2021</v>
      </c>
      <c r="E15">
        <v>4</v>
      </c>
      <c r="F15">
        <v>8000000</v>
      </c>
      <c r="G15">
        <v>641412.57999999996</v>
      </c>
      <c r="H15">
        <v>408130.06</v>
      </c>
      <c r="I15">
        <v>216265.49</v>
      </c>
      <c r="J15">
        <v>27769.64</v>
      </c>
      <c r="K15">
        <v>62</v>
      </c>
      <c r="L15">
        <v>6</v>
      </c>
      <c r="M15">
        <v>0</v>
      </c>
      <c r="N15">
        <v>4</v>
      </c>
      <c r="O15">
        <v>15</v>
      </c>
      <c r="P15">
        <v>69592.100000000006</v>
      </c>
      <c r="Q15">
        <v>99.68</v>
      </c>
      <c r="R15">
        <v>99.81</v>
      </c>
      <c r="S15">
        <v>0</v>
      </c>
      <c r="T15">
        <v>0</v>
      </c>
      <c r="U15">
        <v>0</v>
      </c>
      <c r="V15">
        <v>0</v>
      </c>
      <c r="W15">
        <v>1</v>
      </c>
      <c r="X15">
        <v>0</v>
      </c>
      <c r="Y15">
        <v>0</v>
      </c>
      <c r="Z15">
        <v>0</v>
      </c>
      <c r="AA15">
        <v>0</v>
      </c>
      <c r="AB15">
        <v>0</v>
      </c>
      <c r="AC15">
        <v>0</v>
      </c>
      <c r="AD15">
        <v>0</v>
      </c>
      <c r="AE15">
        <v>0</v>
      </c>
      <c r="AF15">
        <v>0</v>
      </c>
      <c r="AG15">
        <v>0</v>
      </c>
      <c r="AH15">
        <v>0</v>
      </c>
      <c r="AI15">
        <v>0</v>
      </c>
      <c r="AJ15">
        <v>1</v>
      </c>
      <c r="AK15">
        <v>0</v>
      </c>
      <c r="AL15">
        <v>0</v>
      </c>
      <c r="AM15">
        <v>0</v>
      </c>
      <c r="AN15">
        <v>0</v>
      </c>
      <c r="AO15">
        <v>0</v>
      </c>
      <c r="AP15">
        <v>0</v>
      </c>
    </row>
    <row r="16" spans="1:42" x14ac:dyDescent="0.45">
      <c r="D16">
        <v>2021</v>
      </c>
      <c r="E16">
        <v>4</v>
      </c>
      <c r="F16">
        <v>13500000</v>
      </c>
      <c r="G16">
        <v>1070061.03</v>
      </c>
      <c r="H16">
        <v>568983.32999999996</v>
      </c>
      <c r="I16">
        <v>423741.14</v>
      </c>
      <c r="J16">
        <v>46229.56</v>
      </c>
      <c r="K16">
        <v>80</v>
      </c>
      <c r="L16">
        <v>5</v>
      </c>
      <c r="M16">
        <v>137</v>
      </c>
      <c r="N16">
        <v>1</v>
      </c>
      <c r="O16">
        <v>21</v>
      </c>
      <c r="P16">
        <v>83532.81</v>
      </c>
      <c r="Q16">
        <v>99.81</v>
      </c>
      <c r="R16">
        <v>99.89</v>
      </c>
      <c r="S16">
        <v>0</v>
      </c>
      <c r="T16">
        <v>0</v>
      </c>
      <c r="U16">
        <v>0</v>
      </c>
      <c r="V16">
        <v>0</v>
      </c>
      <c r="W16">
        <v>1</v>
      </c>
      <c r="X16">
        <v>0</v>
      </c>
      <c r="Y16">
        <v>0</v>
      </c>
      <c r="Z16">
        <v>0</v>
      </c>
      <c r="AA16">
        <v>0</v>
      </c>
      <c r="AB16">
        <v>0</v>
      </c>
      <c r="AC16">
        <v>0</v>
      </c>
      <c r="AD16">
        <v>0</v>
      </c>
      <c r="AE16">
        <v>0</v>
      </c>
      <c r="AF16">
        <v>0</v>
      </c>
      <c r="AG16">
        <v>0</v>
      </c>
      <c r="AH16">
        <v>0</v>
      </c>
      <c r="AI16">
        <v>0</v>
      </c>
      <c r="AJ16">
        <v>0</v>
      </c>
      <c r="AK16">
        <v>0</v>
      </c>
      <c r="AL16">
        <v>0</v>
      </c>
      <c r="AM16">
        <v>0</v>
      </c>
      <c r="AN16">
        <v>1</v>
      </c>
      <c r="AO16">
        <v>0</v>
      </c>
      <c r="AP16">
        <v>0</v>
      </c>
    </row>
    <row r="17" spans="4:42" x14ac:dyDescent="0.45">
      <c r="D17">
        <v>2021</v>
      </c>
      <c r="E17">
        <v>4</v>
      </c>
      <c r="F17">
        <v>3500000</v>
      </c>
      <c r="G17">
        <v>287214.95</v>
      </c>
      <c r="H17">
        <v>248582.12</v>
      </c>
      <c r="I17">
        <v>35227.26</v>
      </c>
      <c r="J17">
        <v>3823.2</v>
      </c>
      <c r="K17">
        <v>27</v>
      </c>
      <c r="L17">
        <v>2</v>
      </c>
      <c r="M17">
        <v>35</v>
      </c>
      <c r="N17">
        <v>2</v>
      </c>
      <c r="O17">
        <v>15</v>
      </c>
      <c r="P17">
        <v>26441.96</v>
      </c>
      <c r="Q17">
        <v>99.32</v>
      </c>
      <c r="R17">
        <v>100.29</v>
      </c>
      <c r="S17">
        <v>0</v>
      </c>
      <c r="T17">
        <v>0</v>
      </c>
      <c r="U17">
        <v>0</v>
      </c>
      <c r="V17">
        <v>0</v>
      </c>
      <c r="W17">
        <v>1</v>
      </c>
      <c r="X17">
        <v>0</v>
      </c>
      <c r="Y17">
        <v>0</v>
      </c>
      <c r="Z17">
        <v>0</v>
      </c>
      <c r="AA17">
        <v>0</v>
      </c>
      <c r="AB17">
        <v>0</v>
      </c>
      <c r="AC17">
        <v>0</v>
      </c>
      <c r="AD17">
        <v>0</v>
      </c>
      <c r="AE17">
        <v>0</v>
      </c>
      <c r="AF17">
        <v>0</v>
      </c>
      <c r="AG17">
        <v>0</v>
      </c>
      <c r="AH17">
        <v>0</v>
      </c>
      <c r="AI17">
        <v>0</v>
      </c>
      <c r="AJ17">
        <v>0</v>
      </c>
      <c r="AK17">
        <v>0</v>
      </c>
      <c r="AL17">
        <v>0</v>
      </c>
      <c r="AM17">
        <v>0</v>
      </c>
      <c r="AN17">
        <v>0</v>
      </c>
      <c r="AO17">
        <v>0</v>
      </c>
      <c r="AP17">
        <v>0</v>
      </c>
    </row>
    <row r="18" spans="4:42" x14ac:dyDescent="0.45">
      <c r="D18">
        <v>2021</v>
      </c>
      <c r="E18">
        <v>4</v>
      </c>
      <c r="F18">
        <v>19000000</v>
      </c>
      <c r="G18">
        <v>1370225.9</v>
      </c>
      <c r="H18">
        <v>682441.3</v>
      </c>
      <c r="I18">
        <v>623648.46</v>
      </c>
      <c r="J18">
        <v>63527.6</v>
      </c>
      <c r="K18">
        <v>93</v>
      </c>
      <c r="L18">
        <v>8</v>
      </c>
      <c r="M18">
        <v>245</v>
      </c>
      <c r="N18">
        <v>5</v>
      </c>
      <c r="O18">
        <v>28</v>
      </c>
      <c r="P18">
        <v>180061.46</v>
      </c>
      <c r="Q18">
        <v>102.81</v>
      </c>
      <c r="R18">
        <v>99.98</v>
      </c>
      <c r="S18">
        <v>0</v>
      </c>
      <c r="T18">
        <v>0</v>
      </c>
      <c r="U18">
        <v>0</v>
      </c>
      <c r="V18">
        <v>0</v>
      </c>
      <c r="W18">
        <v>1</v>
      </c>
      <c r="X18">
        <v>0</v>
      </c>
      <c r="Y18">
        <v>0</v>
      </c>
      <c r="Z18">
        <v>0</v>
      </c>
      <c r="AA18">
        <v>0</v>
      </c>
      <c r="AB18">
        <v>0</v>
      </c>
      <c r="AC18">
        <v>0</v>
      </c>
      <c r="AD18">
        <v>0</v>
      </c>
      <c r="AE18">
        <v>0</v>
      </c>
      <c r="AF18">
        <v>0</v>
      </c>
      <c r="AG18">
        <v>0</v>
      </c>
      <c r="AH18">
        <v>0</v>
      </c>
      <c r="AI18">
        <v>0</v>
      </c>
      <c r="AJ18">
        <v>0</v>
      </c>
      <c r="AK18">
        <v>0</v>
      </c>
      <c r="AL18">
        <v>0</v>
      </c>
      <c r="AM18">
        <v>0</v>
      </c>
      <c r="AN18">
        <v>0</v>
      </c>
      <c r="AO18">
        <v>0</v>
      </c>
      <c r="AP18">
        <v>1</v>
      </c>
    </row>
    <row r="19" spans="4:42" x14ac:dyDescent="0.45">
      <c r="D19">
        <v>2021</v>
      </c>
      <c r="E19">
        <v>4</v>
      </c>
      <c r="F19">
        <v>22000000</v>
      </c>
      <c r="G19">
        <v>1889987.85</v>
      </c>
      <c r="H19">
        <v>1394409.14</v>
      </c>
      <c r="I19">
        <v>356967.71</v>
      </c>
      <c r="J19">
        <v>33023.42</v>
      </c>
      <c r="K19">
        <v>171</v>
      </c>
      <c r="L19">
        <v>18</v>
      </c>
      <c r="M19">
        <v>576</v>
      </c>
      <c r="N19">
        <v>8</v>
      </c>
      <c r="O19">
        <v>29</v>
      </c>
      <c r="P19">
        <v>351563.54</v>
      </c>
      <c r="Q19">
        <v>100.06</v>
      </c>
      <c r="R19">
        <v>99.8</v>
      </c>
      <c r="S19">
        <v>0</v>
      </c>
      <c r="T19">
        <v>0</v>
      </c>
      <c r="U19">
        <v>0</v>
      </c>
      <c r="V19">
        <v>0</v>
      </c>
      <c r="W19">
        <v>1</v>
      </c>
      <c r="X19">
        <v>0</v>
      </c>
      <c r="Y19">
        <v>0</v>
      </c>
      <c r="Z19">
        <v>0</v>
      </c>
      <c r="AA19">
        <v>0</v>
      </c>
      <c r="AB19">
        <v>0</v>
      </c>
      <c r="AC19">
        <v>0</v>
      </c>
      <c r="AD19">
        <v>0</v>
      </c>
      <c r="AE19">
        <v>0</v>
      </c>
      <c r="AF19">
        <v>1</v>
      </c>
      <c r="AG19">
        <v>0</v>
      </c>
      <c r="AH19">
        <v>0</v>
      </c>
      <c r="AI19">
        <v>0</v>
      </c>
      <c r="AJ19">
        <v>0</v>
      </c>
      <c r="AK19">
        <v>0</v>
      </c>
      <c r="AL19">
        <v>0</v>
      </c>
      <c r="AM19">
        <v>0</v>
      </c>
      <c r="AN19">
        <v>0</v>
      </c>
      <c r="AO19">
        <v>0</v>
      </c>
      <c r="AP19">
        <v>0</v>
      </c>
    </row>
    <row r="20" spans="4:42" x14ac:dyDescent="0.45">
      <c r="D20">
        <v>2021</v>
      </c>
      <c r="E20">
        <v>5</v>
      </c>
      <c r="F20">
        <v>8000000</v>
      </c>
      <c r="G20">
        <v>632612.5</v>
      </c>
      <c r="H20">
        <v>431098.38</v>
      </c>
      <c r="I20">
        <v>196828.67</v>
      </c>
      <c r="J20">
        <v>19324.240000000002</v>
      </c>
      <c r="K20">
        <v>65</v>
      </c>
      <c r="L20">
        <v>6</v>
      </c>
      <c r="M20">
        <v>124</v>
      </c>
      <c r="N20">
        <v>2</v>
      </c>
      <c r="O20">
        <v>12</v>
      </c>
      <c r="P20">
        <v>174335</v>
      </c>
      <c r="Q20">
        <v>104.26</v>
      </c>
      <c r="R20">
        <v>99.81</v>
      </c>
      <c r="S20">
        <v>0</v>
      </c>
      <c r="T20">
        <v>0</v>
      </c>
      <c r="U20">
        <v>0</v>
      </c>
      <c r="V20">
        <v>1</v>
      </c>
      <c r="W20">
        <v>0</v>
      </c>
      <c r="X20">
        <v>0</v>
      </c>
      <c r="Y20">
        <v>0</v>
      </c>
      <c r="Z20">
        <v>0</v>
      </c>
      <c r="AA20">
        <v>0</v>
      </c>
      <c r="AB20">
        <v>0</v>
      </c>
      <c r="AC20">
        <v>0</v>
      </c>
      <c r="AD20">
        <v>0</v>
      </c>
      <c r="AE20">
        <v>0</v>
      </c>
      <c r="AF20">
        <v>0</v>
      </c>
      <c r="AG20">
        <v>0</v>
      </c>
      <c r="AH20">
        <v>0</v>
      </c>
      <c r="AI20">
        <v>0</v>
      </c>
      <c r="AJ20">
        <v>1</v>
      </c>
      <c r="AK20">
        <v>0</v>
      </c>
      <c r="AL20">
        <v>0</v>
      </c>
      <c r="AM20">
        <v>0</v>
      </c>
      <c r="AN20">
        <v>0</v>
      </c>
      <c r="AO20">
        <v>0</v>
      </c>
      <c r="AP20">
        <v>0</v>
      </c>
    </row>
    <row r="21" spans="4:42" x14ac:dyDescent="0.45">
      <c r="D21">
        <v>2021</v>
      </c>
      <c r="E21">
        <v>5</v>
      </c>
      <c r="F21">
        <v>4800000</v>
      </c>
      <c r="G21">
        <v>448204.58</v>
      </c>
      <c r="H21">
        <v>348771.39</v>
      </c>
      <c r="I21">
        <v>58995.040000000001</v>
      </c>
      <c r="J21">
        <v>34805.89</v>
      </c>
      <c r="K21">
        <v>36</v>
      </c>
      <c r="L21">
        <v>1</v>
      </c>
      <c r="M21">
        <v>42</v>
      </c>
      <c r="N21">
        <v>2</v>
      </c>
      <c r="O21">
        <v>14</v>
      </c>
      <c r="P21">
        <v>34848.300000000003</v>
      </c>
      <c r="Q21">
        <v>103.79</v>
      </c>
      <c r="R21">
        <v>100.39</v>
      </c>
      <c r="S21">
        <v>0</v>
      </c>
      <c r="T21">
        <v>0</v>
      </c>
      <c r="U21">
        <v>0</v>
      </c>
      <c r="V21">
        <v>1</v>
      </c>
      <c r="W21">
        <v>0</v>
      </c>
      <c r="X21">
        <v>0</v>
      </c>
      <c r="Y21">
        <v>0</v>
      </c>
      <c r="Z21">
        <v>0</v>
      </c>
      <c r="AA21">
        <v>0</v>
      </c>
      <c r="AB21">
        <v>0</v>
      </c>
      <c r="AC21">
        <v>0</v>
      </c>
      <c r="AD21">
        <v>1</v>
      </c>
      <c r="AE21">
        <v>0</v>
      </c>
      <c r="AF21">
        <v>0</v>
      </c>
      <c r="AG21">
        <v>0</v>
      </c>
      <c r="AH21">
        <v>0</v>
      </c>
      <c r="AI21">
        <v>0</v>
      </c>
      <c r="AJ21">
        <v>0</v>
      </c>
      <c r="AK21">
        <v>0</v>
      </c>
      <c r="AL21">
        <v>0</v>
      </c>
      <c r="AM21">
        <v>0</v>
      </c>
      <c r="AN21">
        <v>0</v>
      </c>
      <c r="AO21">
        <v>0</v>
      </c>
      <c r="AP21">
        <v>0</v>
      </c>
    </row>
    <row r="22" spans="4:42" x14ac:dyDescent="0.45">
      <c r="D22">
        <v>2021</v>
      </c>
      <c r="E22">
        <v>5</v>
      </c>
      <c r="F22">
        <v>25000000</v>
      </c>
      <c r="G22">
        <v>1940087.19</v>
      </c>
      <c r="H22">
        <v>1565557.42</v>
      </c>
      <c r="I22">
        <v>392284.39</v>
      </c>
      <c r="J22">
        <v>24036.09</v>
      </c>
      <c r="K22">
        <v>203</v>
      </c>
      <c r="L22">
        <v>14</v>
      </c>
      <c r="M22">
        <v>599</v>
      </c>
      <c r="N22">
        <v>3</v>
      </c>
      <c r="O22">
        <v>26</v>
      </c>
      <c r="P22">
        <v>240186.11</v>
      </c>
      <c r="Q22">
        <v>100.17</v>
      </c>
      <c r="R22">
        <v>101.39</v>
      </c>
      <c r="S22">
        <v>0</v>
      </c>
      <c r="T22">
        <v>0</v>
      </c>
      <c r="U22">
        <v>0</v>
      </c>
      <c r="V22">
        <v>1</v>
      </c>
      <c r="W22">
        <v>0</v>
      </c>
      <c r="X22">
        <v>0</v>
      </c>
      <c r="Y22">
        <v>0</v>
      </c>
      <c r="Z22">
        <v>0</v>
      </c>
      <c r="AA22">
        <v>0</v>
      </c>
      <c r="AB22">
        <v>0</v>
      </c>
      <c r="AC22">
        <v>0</v>
      </c>
      <c r="AD22">
        <v>0</v>
      </c>
      <c r="AE22">
        <v>0</v>
      </c>
      <c r="AF22">
        <v>0</v>
      </c>
      <c r="AG22">
        <v>0</v>
      </c>
      <c r="AH22">
        <v>0</v>
      </c>
      <c r="AI22">
        <v>0</v>
      </c>
      <c r="AJ22">
        <v>0</v>
      </c>
      <c r="AK22">
        <v>0</v>
      </c>
      <c r="AL22">
        <v>0</v>
      </c>
      <c r="AM22">
        <v>1</v>
      </c>
      <c r="AN22">
        <v>0</v>
      </c>
      <c r="AO22">
        <v>0</v>
      </c>
      <c r="AP22">
        <v>0</v>
      </c>
    </row>
    <row r="23" spans="4:42" x14ac:dyDescent="0.45">
      <c r="D23">
        <v>2021</v>
      </c>
      <c r="E23">
        <v>5</v>
      </c>
      <c r="F23">
        <v>19000000</v>
      </c>
      <c r="G23">
        <v>1380054.23</v>
      </c>
      <c r="H23">
        <v>744015.03</v>
      </c>
      <c r="I23">
        <v>720438.41</v>
      </c>
      <c r="J23">
        <v>39627.89</v>
      </c>
      <c r="K23">
        <v>96</v>
      </c>
      <c r="L23">
        <v>7</v>
      </c>
      <c r="M23">
        <v>423</v>
      </c>
      <c r="N23">
        <v>6</v>
      </c>
      <c r="O23">
        <v>29</v>
      </c>
      <c r="P23">
        <v>221724.25</v>
      </c>
      <c r="Q23">
        <v>100.12</v>
      </c>
      <c r="R23">
        <v>100.67</v>
      </c>
      <c r="S23">
        <v>0</v>
      </c>
      <c r="T23">
        <v>0</v>
      </c>
      <c r="U23">
        <v>0</v>
      </c>
      <c r="V23">
        <v>1</v>
      </c>
      <c r="W23">
        <v>0</v>
      </c>
      <c r="X23">
        <v>0</v>
      </c>
      <c r="Y23">
        <v>0</v>
      </c>
      <c r="Z23">
        <v>0</v>
      </c>
      <c r="AA23">
        <v>0</v>
      </c>
      <c r="AB23">
        <v>0</v>
      </c>
      <c r="AC23">
        <v>0</v>
      </c>
      <c r="AD23">
        <v>0</v>
      </c>
      <c r="AE23">
        <v>0</v>
      </c>
      <c r="AF23">
        <v>0</v>
      </c>
      <c r="AG23">
        <v>0</v>
      </c>
      <c r="AH23">
        <v>0</v>
      </c>
      <c r="AI23">
        <v>0</v>
      </c>
      <c r="AJ23">
        <v>0</v>
      </c>
      <c r="AK23">
        <v>0</v>
      </c>
      <c r="AL23">
        <v>0</v>
      </c>
      <c r="AM23">
        <v>0</v>
      </c>
      <c r="AN23">
        <v>0</v>
      </c>
      <c r="AO23">
        <v>0</v>
      </c>
      <c r="AP23">
        <v>1</v>
      </c>
    </row>
    <row r="24" spans="4:42" x14ac:dyDescent="0.45">
      <c r="D24">
        <v>2021</v>
      </c>
      <c r="E24">
        <v>5</v>
      </c>
      <c r="F24">
        <v>6200000</v>
      </c>
      <c r="G24">
        <v>602032.63</v>
      </c>
      <c r="H24">
        <v>263503.13</v>
      </c>
      <c r="I24">
        <v>206101.73</v>
      </c>
      <c r="J24">
        <v>124218.02</v>
      </c>
      <c r="K24">
        <v>30</v>
      </c>
      <c r="L24">
        <v>3</v>
      </c>
      <c r="M24">
        <v>37</v>
      </c>
      <c r="N24">
        <v>3</v>
      </c>
      <c r="O24">
        <v>14</v>
      </c>
      <c r="P24">
        <v>37245.97</v>
      </c>
      <c r="Q24">
        <v>98.33</v>
      </c>
      <c r="R24">
        <v>101.08</v>
      </c>
      <c r="S24">
        <v>0</v>
      </c>
      <c r="T24">
        <v>0</v>
      </c>
      <c r="U24">
        <v>0</v>
      </c>
      <c r="V24">
        <v>1</v>
      </c>
      <c r="W24">
        <v>0</v>
      </c>
      <c r="X24">
        <v>0</v>
      </c>
      <c r="Y24">
        <v>0</v>
      </c>
      <c r="Z24">
        <v>0</v>
      </c>
      <c r="AA24">
        <v>0</v>
      </c>
      <c r="AB24">
        <v>0</v>
      </c>
      <c r="AC24">
        <v>0</v>
      </c>
      <c r="AD24">
        <v>0</v>
      </c>
      <c r="AE24">
        <v>0</v>
      </c>
      <c r="AF24">
        <v>0</v>
      </c>
      <c r="AG24">
        <v>0</v>
      </c>
      <c r="AH24">
        <v>1</v>
      </c>
      <c r="AI24">
        <v>0</v>
      </c>
      <c r="AJ24">
        <v>0</v>
      </c>
      <c r="AK24">
        <v>0</v>
      </c>
      <c r="AL24">
        <v>0</v>
      </c>
      <c r="AM24">
        <v>0</v>
      </c>
      <c r="AN24">
        <v>0</v>
      </c>
      <c r="AO24">
        <v>0</v>
      </c>
      <c r="AP24">
        <v>0</v>
      </c>
    </row>
    <row r="25" spans="4:42" x14ac:dyDescent="0.45">
      <c r="D25">
        <v>2021</v>
      </c>
      <c r="E25">
        <v>5</v>
      </c>
      <c r="F25">
        <v>13500000</v>
      </c>
      <c r="G25">
        <v>1201055.1599999999</v>
      </c>
      <c r="H25">
        <v>536845.46</v>
      </c>
      <c r="I25">
        <v>444539.14</v>
      </c>
      <c r="J25">
        <v>207021.11</v>
      </c>
      <c r="K25">
        <v>79</v>
      </c>
      <c r="L25">
        <v>4</v>
      </c>
      <c r="M25">
        <v>42</v>
      </c>
      <c r="N25">
        <v>3</v>
      </c>
      <c r="O25">
        <v>22</v>
      </c>
      <c r="P25">
        <v>97908.93</v>
      </c>
      <c r="Q25">
        <v>99.73</v>
      </c>
      <c r="R25">
        <v>100.22</v>
      </c>
      <c r="S25">
        <v>0</v>
      </c>
      <c r="T25">
        <v>0</v>
      </c>
      <c r="U25">
        <v>0</v>
      </c>
      <c r="V25">
        <v>1</v>
      </c>
      <c r="W25">
        <v>0</v>
      </c>
      <c r="X25">
        <v>0</v>
      </c>
      <c r="Y25">
        <v>0</v>
      </c>
      <c r="Z25">
        <v>0</v>
      </c>
      <c r="AA25">
        <v>0</v>
      </c>
      <c r="AB25">
        <v>0</v>
      </c>
      <c r="AC25">
        <v>0</v>
      </c>
      <c r="AD25">
        <v>0</v>
      </c>
      <c r="AE25">
        <v>0</v>
      </c>
      <c r="AF25">
        <v>0</v>
      </c>
      <c r="AG25">
        <v>0</v>
      </c>
      <c r="AH25">
        <v>0</v>
      </c>
      <c r="AI25">
        <v>0</v>
      </c>
      <c r="AJ25">
        <v>0</v>
      </c>
      <c r="AK25">
        <v>0</v>
      </c>
      <c r="AL25">
        <v>0</v>
      </c>
      <c r="AM25">
        <v>0</v>
      </c>
      <c r="AN25">
        <v>1</v>
      </c>
      <c r="AO25">
        <v>0</v>
      </c>
      <c r="AP25">
        <v>0</v>
      </c>
    </row>
    <row r="26" spans="4:42" x14ac:dyDescent="0.45">
      <c r="D26">
        <v>2021</v>
      </c>
      <c r="E26">
        <v>5</v>
      </c>
      <c r="F26">
        <v>22000000</v>
      </c>
      <c r="G26">
        <v>1809413.55</v>
      </c>
      <c r="H26">
        <v>1507678.24</v>
      </c>
      <c r="I26">
        <v>313579.71000000002</v>
      </c>
      <c r="J26">
        <v>45171.66</v>
      </c>
      <c r="K26">
        <v>177</v>
      </c>
      <c r="L26">
        <v>16</v>
      </c>
      <c r="M26">
        <v>689</v>
      </c>
      <c r="N26">
        <v>9</v>
      </c>
      <c r="O26">
        <v>38</v>
      </c>
      <c r="P26">
        <v>566709.06000000006</v>
      </c>
      <c r="Q26">
        <v>99.98</v>
      </c>
      <c r="R26">
        <v>100.59</v>
      </c>
      <c r="S26">
        <v>0</v>
      </c>
      <c r="T26">
        <v>0</v>
      </c>
      <c r="U26">
        <v>0</v>
      </c>
      <c r="V26">
        <v>1</v>
      </c>
      <c r="W26">
        <v>0</v>
      </c>
      <c r="X26">
        <v>0</v>
      </c>
      <c r="Y26">
        <v>0</v>
      </c>
      <c r="Z26">
        <v>0</v>
      </c>
      <c r="AA26">
        <v>0</v>
      </c>
      <c r="AB26">
        <v>0</v>
      </c>
      <c r="AC26">
        <v>0</v>
      </c>
      <c r="AD26">
        <v>0</v>
      </c>
      <c r="AE26">
        <v>0</v>
      </c>
      <c r="AF26">
        <v>1</v>
      </c>
      <c r="AG26">
        <v>0</v>
      </c>
      <c r="AH26">
        <v>0</v>
      </c>
      <c r="AI26">
        <v>0</v>
      </c>
      <c r="AJ26">
        <v>0</v>
      </c>
      <c r="AK26">
        <v>0</v>
      </c>
      <c r="AL26">
        <v>0</v>
      </c>
      <c r="AM26">
        <v>0</v>
      </c>
      <c r="AN26">
        <v>0</v>
      </c>
      <c r="AO26">
        <v>0</v>
      </c>
      <c r="AP26">
        <v>0</v>
      </c>
    </row>
    <row r="27" spans="4:42" x14ac:dyDescent="0.45">
      <c r="D27">
        <v>2021</v>
      </c>
      <c r="E27">
        <v>5</v>
      </c>
      <c r="F27">
        <v>3500000</v>
      </c>
      <c r="G27">
        <v>283478.33</v>
      </c>
      <c r="H27">
        <v>234298.47</v>
      </c>
      <c r="I27">
        <v>36992.81</v>
      </c>
      <c r="J27">
        <v>6662.56</v>
      </c>
      <c r="K27">
        <v>27</v>
      </c>
      <c r="L27">
        <v>6</v>
      </c>
      <c r="M27">
        <v>18</v>
      </c>
      <c r="N27">
        <v>3</v>
      </c>
      <c r="O27">
        <v>16</v>
      </c>
      <c r="P27">
        <v>27954.53</v>
      </c>
      <c r="Q27">
        <v>100.29</v>
      </c>
      <c r="R27">
        <v>99.11</v>
      </c>
      <c r="S27">
        <v>0</v>
      </c>
      <c r="T27">
        <v>0</v>
      </c>
      <c r="U27">
        <v>0</v>
      </c>
      <c r="V27">
        <v>1</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row>
    <row r="28" spans="4:42" x14ac:dyDescent="0.45">
      <c r="D28">
        <v>2021</v>
      </c>
      <c r="E28">
        <v>5</v>
      </c>
      <c r="F28">
        <v>7300000</v>
      </c>
      <c r="G28">
        <v>553901.44999999995</v>
      </c>
      <c r="H28">
        <v>303482.93</v>
      </c>
      <c r="I28">
        <v>259273.86</v>
      </c>
      <c r="J28">
        <v>31890.26</v>
      </c>
      <c r="K28">
        <v>43</v>
      </c>
      <c r="L28">
        <v>2</v>
      </c>
      <c r="M28">
        <v>38</v>
      </c>
      <c r="N28">
        <v>1</v>
      </c>
      <c r="O28">
        <v>12</v>
      </c>
      <c r="P28">
        <v>26156.46</v>
      </c>
      <c r="Q28">
        <v>103.25</v>
      </c>
      <c r="R28">
        <v>100.61</v>
      </c>
      <c r="S28">
        <v>0</v>
      </c>
      <c r="T28">
        <v>0</v>
      </c>
      <c r="U28">
        <v>0</v>
      </c>
      <c r="V28">
        <v>1</v>
      </c>
      <c r="W28">
        <v>0</v>
      </c>
      <c r="X28">
        <v>0</v>
      </c>
      <c r="Y28">
        <v>0</v>
      </c>
      <c r="Z28">
        <v>0</v>
      </c>
      <c r="AA28">
        <v>0</v>
      </c>
      <c r="AB28">
        <v>0</v>
      </c>
      <c r="AC28">
        <v>0</v>
      </c>
      <c r="AD28">
        <v>0</v>
      </c>
      <c r="AE28">
        <v>0</v>
      </c>
      <c r="AF28">
        <v>0</v>
      </c>
      <c r="AG28">
        <v>1</v>
      </c>
      <c r="AH28">
        <v>0</v>
      </c>
      <c r="AI28">
        <v>0</v>
      </c>
      <c r="AJ28">
        <v>0</v>
      </c>
      <c r="AK28">
        <v>0</v>
      </c>
      <c r="AL28">
        <v>0</v>
      </c>
      <c r="AM28">
        <v>0</v>
      </c>
      <c r="AN28">
        <v>0</v>
      </c>
      <c r="AO28">
        <v>0</v>
      </c>
      <c r="AP28">
        <v>0</v>
      </c>
    </row>
    <row r="29" spans="4:42" x14ac:dyDescent="0.45">
      <c r="D29">
        <v>2021</v>
      </c>
      <c r="E29">
        <v>5</v>
      </c>
      <c r="F29">
        <v>4200000</v>
      </c>
      <c r="G29">
        <v>347351.27</v>
      </c>
      <c r="H29">
        <v>279763.84999999998</v>
      </c>
      <c r="I29">
        <v>54033.279999999999</v>
      </c>
      <c r="J29">
        <v>7735.2</v>
      </c>
      <c r="K29">
        <v>32</v>
      </c>
      <c r="L29">
        <v>5</v>
      </c>
      <c r="M29">
        <v>3</v>
      </c>
      <c r="N29">
        <v>2</v>
      </c>
      <c r="O29">
        <v>13</v>
      </c>
      <c r="P29">
        <v>18044.48</v>
      </c>
      <c r="Q29">
        <v>104.4</v>
      </c>
      <c r="R29">
        <v>100.6</v>
      </c>
      <c r="S29">
        <v>0</v>
      </c>
      <c r="T29">
        <v>0</v>
      </c>
      <c r="U29">
        <v>0</v>
      </c>
      <c r="V29">
        <v>1</v>
      </c>
      <c r="W29">
        <v>0</v>
      </c>
      <c r="X29">
        <v>0</v>
      </c>
      <c r="Y29">
        <v>0</v>
      </c>
      <c r="Z29">
        <v>0</v>
      </c>
      <c r="AA29">
        <v>0</v>
      </c>
      <c r="AB29">
        <v>0</v>
      </c>
      <c r="AC29">
        <v>0</v>
      </c>
      <c r="AD29">
        <v>0</v>
      </c>
      <c r="AE29">
        <v>0</v>
      </c>
      <c r="AF29">
        <v>0</v>
      </c>
      <c r="AG29">
        <v>0</v>
      </c>
      <c r="AH29">
        <v>0</v>
      </c>
      <c r="AI29">
        <v>0</v>
      </c>
      <c r="AJ29">
        <v>0</v>
      </c>
      <c r="AK29">
        <v>0</v>
      </c>
      <c r="AL29">
        <v>1</v>
      </c>
      <c r="AM29">
        <v>0</v>
      </c>
      <c r="AN29">
        <v>0</v>
      </c>
      <c r="AO29">
        <v>0</v>
      </c>
      <c r="AP29">
        <v>0</v>
      </c>
    </row>
    <row r="30" spans="4:42" x14ac:dyDescent="0.45">
      <c r="D30">
        <v>2021</v>
      </c>
      <c r="E30">
        <v>6</v>
      </c>
      <c r="F30">
        <v>3500000</v>
      </c>
      <c r="G30">
        <v>283150.73</v>
      </c>
      <c r="H30">
        <v>247678.15</v>
      </c>
      <c r="I30">
        <v>37245.480000000003</v>
      </c>
      <c r="J30">
        <v>2002.32</v>
      </c>
      <c r="K30">
        <v>26</v>
      </c>
      <c r="L30">
        <v>4</v>
      </c>
      <c r="M30">
        <v>45</v>
      </c>
      <c r="N30">
        <v>2</v>
      </c>
      <c r="O30">
        <v>12</v>
      </c>
      <c r="P30">
        <v>21782.73</v>
      </c>
      <c r="Q30">
        <v>102.88</v>
      </c>
      <c r="R30">
        <v>99.76</v>
      </c>
      <c r="S30">
        <v>0</v>
      </c>
      <c r="T30">
        <v>0</v>
      </c>
      <c r="U30">
        <v>0</v>
      </c>
      <c r="V30">
        <v>0</v>
      </c>
      <c r="W30">
        <v>0</v>
      </c>
      <c r="X30">
        <v>0</v>
      </c>
      <c r="Y30">
        <v>0</v>
      </c>
      <c r="Z30">
        <v>1</v>
      </c>
      <c r="AA30">
        <v>0</v>
      </c>
      <c r="AB30">
        <v>0</v>
      </c>
      <c r="AC30">
        <v>0</v>
      </c>
      <c r="AD30">
        <v>0</v>
      </c>
      <c r="AE30">
        <v>0</v>
      </c>
      <c r="AF30">
        <v>0</v>
      </c>
      <c r="AG30">
        <v>0</v>
      </c>
      <c r="AH30">
        <v>0</v>
      </c>
      <c r="AI30">
        <v>0</v>
      </c>
      <c r="AJ30">
        <v>0</v>
      </c>
      <c r="AK30">
        <v>0</v>
      </c>
      <c r="AL30">
        <v>0</v>
      </c>
      <c r="AM30">
        <v>0</v>
      </c>
      <c r="AN30">
        <v>0</v>
      </c>
      <c r="AO30">
        <v>0</v>
      </c>
      <c r="AP30">
        <v>0</v>
      </c>
    </row>
    <row r="31" spans="4:42" x14ac:dyDescent="0.45">
      <c r="D31">
        <v>2021</v>
      </c>
      <c r="E31">
        <v>6</v>
      </c>
      <c r="F31">
        <v>13500000</v>
      </c>
      <c r="G31">
        <v>1105767.29</v>
      </c>
      <c r="H31">
        <v>528591.79</v>
      </c>
      <c r="I31">
        <v>468043.95</v>
      </c>
      <c r="J31">
        <v>72522.320000000007</v>
      </c>
      <c r="K31">
        <v>77</v>
      </c>
      <c r="L31">
        <v>7</v>
      </c>
      <c r="M31">
        <v>34</v>
      </c>
      <c r="N31">
        <v>1</v>
      </c>
      <c r="O31">
        <v>14</v>
      </c>
      <c r="P31">
        <v>44820.06</v>
      </c>
      <c r="Q31">
        <v>105.18</v>
      </c>
      <c r="R31">
        <v>100.37</v>
      </c>
      <c r="S31">
        <v>0</v>
      </c>
      <c r="T31">
        <v>0</v>
      </c>
      <c r="U31">
        <v>0</v>
      </c>
      <c r="V31">
        <v>0</v>
      </c>
      <c r="W31">
        <v>0</v>
      </c>
      <c r="X31">
        <v>0</v>
      </c>
      <c r="Y31">
        <v>0</v>
      </c>
      <c r="Z31">
        <v>1</v>
      </c>
      <c r="AA31">
        <v>0</v>
      </c>
      <c r="AB31">
        <v>0</v>
      </c>
      <c r="AC31">
        <v>0</v>
      </c>
      <c r="AD31">
        <v>0</v>
      </c>
      <c r="AE31">
        <v>0</v>
      </c>
      <c r="AF31">
        <v>0</v>
      </c>
      <c r="AG31">
        <v>0</v>
      </c>
      <c r="AH31">
        <v>0</v>
      </c>
      <c r="AI31">
        <v>0</v>
      </c>
      <c r="AJ31">
        <v>0</v>
      </c>
      <c r="AK31">
        <v>0</v>
      </c>
      <c r="AL31">
        <v>0</v>
      </c>
      <c r="AM31">
        <v>0</v>
      </c>
      <c r="AN31">
        <v>1</v>
      </c>
      <c r="AO31">
        <v>0</v>
      </c>
      <c r="AP31">
        <v>0</v>
      </c>
    </row>
    <row r="32" spans="4:42" x14ac:dyDescent="0.45">
      <c r="D32">
        <v>2021</v>
      </c>
      <c r="E32">
        <v>6</v>
      </c>
      <c r="F32">
        <v>6200000</v>
      </c>
      <c r="G32">
        <v>514824.89</v>
      </c>
      <c r="H32">
        <v>262756.33</v>
      </c>
      <c r="I32">
        <v>213031.19</v>
      </c>
      <c r="J32">
        <v>37075.25</v>
      </c>
      <c r="K32">
        <v>31</v>
      </c>
      <c r="L32">
        <v>1</v>
      </c>
      <c r="M32">
        <v>53</v>
      </c>
      <c r="N32">
        <v>2</v>
      </c>
      <c r="O32">
        <v>13</v>
      </c>
      <c r="P32">
        <v>34607.43</v>
      </c>
      <c r="Q32">
        <v>101.26</v>
      </c>
      <c r="R32">
        <v>101.11</v>
      </c>
      <c r="S32">
        <v>0</v>
      </c>
      <c r="T32">
        <v>0</v>
      </c>
      <c r="U32">
        <v>0</v>
      </c>
      <c r="V32">
        <v>0</v>
      </c>
      <c r="W32">
        <v>0</v>
      </c>
      <c r="X32">
        <v>0</v>
      </c>
      <c r="Y32">
        <v>0</v>
      </c>
      <c r="Z32">
        <v>1</v>
      </c>
      <c r="AA32">
        <v>0</v>
      </c>
      <c r="AB32">
        <v>0</v>
      </c>
      <c r="AC32">
        <v>0</v>
      </c>
      <c r="AD32">
        <v>0</v>
      </c>
      <c r="AE32">
        <v>0</v>
      </c>
      <c r="AF32">
        <v>0</v>
      </c>
      <c r="AG32">
        <v>0</v>
      </c>
      <c r="AH32">
        <v>1</v>
      </c>
      <c r="AI32">
        <v>0</v>
      </c>
      <c r="AJ32">
        <v>0</v>
      </c>
      <c r="AK32">
        <v>0</v>
      </c>
      <c r="AL32">
        <v>0</v>
      </c>
      <c r="AM32">
        <v>0</v>
      </c>
      <c r="AN32">
        <v>0</v>
      </c>
      <c r="AO32">
        <v>0</v>
      </c>
      <c r="AP32">
        <v>0</v>
      </c>
    </row>
    <row r="33" spans="4:42" x14ac:dyDescent="0.45">
      <c r="D33">
        <v>2021</v>
      </c>
      <c r="E33">
        <v>6</v>
      </c>
      <c r="F33">
        <v>7300000</v>
      </c>
      <c r="G33">
        <v>726558.73</v>
      </c>
      <c r="H33">
        <v>311243.45</v>
      </c>
      <c r="I33">
        <v>256884.3</v>
      </c>
      <c r="J33">
        <v>144909.59</v>
      </c>
      <c r="K33">
        <v>42</v>
      </c>
      <c r="L33">
        <v>3</v>
      </c>
      <c r="M33">
        <v>65</v>
      </c>
      <c r="N33">
        <v>1</v>
      </c>
      <c r="O33">
        <v>15</v>
      </c>
      <c r="P33">
        <v>35478.089999999997</v>
      </c>
      <c r="Q33">
        <v>104.47</v>
      </c>
      <c r="R33">
        <v>101.33</v>
      </c>
      <c r="S33">
        <v>0</v>
      </c>
      <c r="T33">
        <v>0</v>
      </c>
      <c r="U33">
        <v>0</v>
      </c>
      <c r="V33">
        <v>0</v>
      </c>
      <c r="W33">
        <v>0</v>
      </c>
      <c r="X33">
        <v>0</v>
      </c>
      <c r="Y33">
        <v>0</v>
      </c>
      <c r="Z33">
        <v>1</v>
      </c>
      <c r="AA33">
        <v>0</v>
      </c>
      <c r="AB33">
        <v>0</v>
      </c>
      <c r="AC33">
        <v>0</v>
      </c>
      <c r="AD33">
        <v>0</v>
      </c>
      <c r="AE33">
        <v>0</v>
      </c>
      <c r="AF33">
        <v>0</v>
      </c>
      <c r="AG33">
        <v>1</v>
      </c>
      <c r="AH33">
        <v>0</v>
      </c>
      <c r="AI33">
        <v>0</v>
      </c>
      <c r="AJ33">
        <v>0</v>
      </c>
      <c r="AK33">
        <v>0</v>
      </c>
      <c r="AL33">
        <v>0</v>
      </c>
      <c r="AM33">
        <v>0</v>
      </c>
      <c r="AN33">
        <v>0</v>
      </c>
      <c r="AO33">
        <v>0</v>
      </c>
      <c r="AP33">
        <v>0</v>
      </c>
    </row>
    <row r="34" spans="4:42" x14ac:dyDescent="0.45">
      <c r="D34">
        <v>2021</v>
      </c>
      <c r="E34">
        <v>6</v>
      </c>
      <c r="F34">
        <v>22000000</v>
      </c>
      <c r="G34">
        <v>1743918.57</v>
      </c>
      <c r="H34">
        <v>1393732.7</v>
      </c>
      <c r="I34">
        <v>368901.7</v>
      </c>
      <c r="J34">
        <v>31488.07</v>
      </c>
      <c r="K34">
        <v>173</v>
      </c>
      <c r="L34">
        <v>10</v>
      </c>
      <c r="M34">
        <v>593</v>
      </c>
      <c r="N34">
        <v>8</v>
      </c>
      <c r="O34">
        <v>32</v>
      </c>
      <c r="P34">
        <v>306876.2</v>
      </c>
      <c r="Q34">
        <v>103.15</v>
      </c>
      <c r="R34">
        <v>99.54</v>
      </c>
      <c r="S34">
        <v>0</v>
      </c>
      <c r="T34">
        <v>0</v>
      </c>
      <c r="U34">
        <v>0</v>
      </c>
      <c r="V34">
        <v>0</v>
      </c>
      <c r="W34">
        <v>0</v>
      </c>
      <c r="X34">
        <v>0</v>
      </c>
      <c r="Y34">
        <v>0</v>
      </c>
      <c r="Z34">
        <v>1</v>
      </c>
      <c r="AA34">
        <v>0</v>
      </c>
      <c r="AB34">
        <v>0</v>
      </c>
      <c r="AC34">
        <v>0</v>
      </c>
      <c r="AD34">
        <v>0</v>
      </c>
      <c r="AE34">
        <v>0</v>
      </c>
      <c r="AF34">
        <v>1</v>
      </c>
      <c r="AG34">
        <v>0</v>
      </c>
      <c r="AH34">
        <v>0</v>
      </c>
      <c r="AI34">
        <v>0</v>
      </c>
      <c r="AJ34">
        <v>0</v>
      </c>
      <c r="AK34">
        <v>0</v>
      </c>
      <c r="AL34">
        <v>0</v>
      </c>
      <c r="AM34">
        <v>0</v>
      </c>
      <c r="AN34">
        <v>0</v>
      </c>
      <c r="AO34">
        <v>0</v>
      </c>
      <c r="AP34">
        <v>0</v>
      </c>
    </row>
    <row r="35" spans="4:42" x14ac:dyDescent="0.45">
      <c r="D35">
        <v>2021</v>
      </c>
      <c r="E35">
        <v>6</v>
      </c>
      <c r="F35">
        <v>8000000</v>
      </c>
      <c r="G35">
        <v>635110.23</v>
      </c>
      <c r="H35">
        <v>434379.26</v>
      </c>
      <c r="I35">
        <v>182708.38</v>
      </c>
      <c r="J35">
        <v>26373.1</v>
      </c>
      <c r="K35">
        <v>65</v>
      </c>
      <c r="L35">
        <v>3</v>
      </c>
      <c r="M35">
        <v>125</v>
      </c>
      <c r="N35">
        <v>1</v>
      </c>
      <c r="O35">
        <v>13</v>
      </c>
      <c r="P35">
        <v>28179.61</v>
      </c>
      <c r="Q35">
        <v>102.29</v>
      </c>
      <c r="R35">
        <v>100.98</v>
      </c>
      <c r="S35">
        <v>0</v>
      </c>
      <c r="T35">
        <v>0</v>
      </c>
      <c r="U35">
        <v>0</v>
      </c>
      <c r="V35">
        <v>0</v>
      </c>
      <c r="W35">
        <v>0</v>
      </c>
      <c r="X35">
        <v>0</v>
      </c>
      <c r="Y35">
        <v>0</v>
      </c>
      <c r="Z35">
        <v>1</v>
      </c>
      <c r="AA35">
        <v>0</v>
      </c>
      <c r="AB35">
        <v>0</v>
      </c>
      <c r="AC35">
        <v>0</v>
      </c>
      <c r="AD35">
        <v>0</v>
      </c>
      <c r="AE35">
        <v>0</v>
      </c>
      <c r="AF35">
        <v>0</v>
      </c>
      <c r="AG35">
        <v>0</v>
      </c>
      <c r="AH35">
        <v>0</v>
      </c>
      <c r="AI35">
        <v>0</v>
      </c>
      <c r="AJ35">
        <v>1</v>
      </c>
      <c r="AK35">
        <v>0</v>
      </c>
      <c r="AL35">
        <v>0</v>
      </c>
      <c r="AM35">
        <v>0</v>
      </c>
      <c r="AN35">
        <v>0</v>
      </c>
      <c r="AO35">
        <v>0</v>
      </c>
      <c r="AP35">
        <v>0</v>
      </c>
    </row>
    <row r="36" spans="4:42" x14ac:dyDescent="0.45">
      <c r="D36">
        <v>2021</v>
      </c>
      <c r="E36">
        <v>6</v>
      </c>
      <c r="F36">
        <v>4800000</v>
      </c>
      <c r="G36">
        <v>406656.99</v>
      </c>
      <c r="H36">
        <v>344574.52</v>
      </c>
      <c r="I36">
        <v>60250.71</v>
      </c>
      <c r="J36">
        <v>2573.4499999999998</v>
      </c>
      <c r="K36">
        <v>36</v>
      </c>
      <c r="L36">
        <v>6</v>
      </c>
      <c r="M36">
        <v>56</v>
      </c>
      <c r="N36">
        <v>5</v>
      </c>
      <c r="O36">
        <v>18</v>
      </c>
      <c r="P36">
        <v>62622.48</v>
      </c>
      <c r="Q36">
        <v>102.57</v>
      </c>
      <c r="R36">
        <v>100.75</v>
      </c>
      <c r="S36">
        <v>0</v>
      </c>
      <c r="T36">
        <v>0</v>
      </c>
      <c r="U36">
        <v>0</v>
      </c>
      <c r="V36">
        <v>0</v>
      </c>
      <c r="W36">
        <v>0</v>
      </c>
      <c r="X36">
        <v>0</v>
      </c>
      <c r="Y36">
        <v>0</v>
      </c>
      <c r="Z36">
        <v>1</v>
      </c>
      <c r="AA36">
        <v>0</v>
      </c>
      <c r="AB36">
        <v>0</v>
      </c>
      <c r="AC36">
        <v>0</v>
      </c>
      <c r="AD36">
        <v>1</v>
      </c>
      <c r="AE36">
        <v>0</v>
      </c>
      <c r="AF36">
        <v>0</v>
      </c>
      <c r="AG36">
        <v>0</v>
      </c>
      <c r="AH36">
        <v>0</v>
      </c>
      <c r="AI36">
        <v>0</v>
      </c>
      <c r="AJ36">
        <v>0</v>
      </c>
      <c r="AK36">
        <v>0</v>
      </c>
      <c r="AL36">
        <v>0</v>
      </c>
      <c r="AM36">
        <v>0</v>
      </c>
      <c r="AN36">
        <v>0</v>
      </c>
      <c r="AO36">
        <v>0</v>
      </c>
      <c r="AP36">
        <v>0</v>
      </c>
    </row>
    <row r="37" spans="4:42" x14ac:dyDescent="0.45">
      <c r="D37">
        <v>2021</v>
      </c>
      <c r="E37">
        <v>6</v>
      </c>
      <c r="F37">
        <v>19000000</v>
      </c>
      <c r="G37">
        <v>1429995.7</v>
      </c>
      <c r="H37">
        <v>742473.75</v>
      </c>
      <c r="I37">
        <v>620387.96</v>
      </c>
      <c r="J37">
        <v>79391.56</v>
      </c>
      <c r="K37">
        <v>96</v>
      </c>
      <c r="L37">
        <v>8</v>
      </c>
      <c r="M37">
        <v>381</v>
      </c>
      <c r="N37">
        <v>7</v>
      </c>
      <c r="O37">
        <v>32</v>
      </c>
      <c r="P37">
        <v>328704.38</v>
      </c>
      <c r="Q37">
        <v>101.91</v>
      </c>
      <c r="R37">
        <v>100.65</v>
      </c>
      <c r="S37">
        <v>0</v>
      </c>
      <c r="T37">
        <v>0</v>
      </c>
      <c r="U37">
        <v>0</v>
      </c>
      <c r="V37">
        <v>0</v>
      </c>
      <c r="W37">
        <v>0</v>
      </c>
      <c r="X37">
        <v>0</v>
      </c>
      <c r="Y37">
        <v>0</v>
      </c>
      <c r="Z37">
        <v>1</v>
      </c>
      <c r="AA37">
        <v>0</v>
      </c>
      <c r="AB37">
        <v>0</v>
      </c>
      <c r="AC37">
        <v>0</v>
      </c>
      <c r="AD37">
        <v>0</v>
      </c>
      <c r="AE37">
        <v>0</v>
      </c>
      <c r="AF37">
        <v>0</v>
      </c>
      <c r="AG37">
        <v>0</v>
      </c>
      <c r="AH37">
        <v>0</v>
      </c>
      <c r="AI37">
        <v>0</v>
      </c>
      <c r="AJ37">
        <v>0</v>
      </c>
      <c r="AK37">
        <v>0</v>
      </c>
      <c r="AL37">
        <v>0</v>
      </c>
      <c r="AM37">
        <v>0</v>
      </c>
      <c r="AN37">
        <v>0</v>
      </c>
      <c r="AO37">
        <v>0</v>
      </c>
      <c r="AP37">
        <v>1</v>
      </c>
    </row>
    <row r="38" spans="4:42" x14ac:dyDescent="0.45">
      <c r="D38">
        <v>2021</v>
      </c>
      <c r="E38">
        <v>6</v>
      </c>
      <c r="F38">
        <v>25000000</v>
      </c>
      <c r="G38">
        <v>1954180.69</v>
      </c>
      <c r="H38">
        <v>1595313.22</v>
      </c>
      <c r="I38">
        <v>394632.16</v>
      </c>
      <c r="J38">
        <v>44822.8</v>
      </c>
      <c r="K38">
        <v>203</v>
      </c>
      <c r="L38">
        <v>16</v>
      </c>
      <c r="M38">
        <v>774</v>
      </c>
      <c r="N38">
        <v>10</v>
      </c>
      <c r="O38">
        <v>34</v>
      </c>
      <c r="P38">
        <v>688459.36</v>
      </c>
      <c r="Q38">
        <v>104.32</v>
      </c>
      <c r="R38">
        <v>100.75</v>
      </c>
      <c r="S38">
        <v>0</v>
      </c>
      <c r="T38">
        <v>0</v>
      </c>
      <c r="U38">
        <v>0</v>
      </c>
      <c r="V38">
        <v>0</v>
      </c>
      <c r="W38">
        <v>0</v>
      </c>
      <c r="X38">
        <v>0</v>
      </c>
      <c r="Y38">
        <v>0</v>
      </c>
      <c r="Z38">
        <v>1</v>
      </c>
      <c r="AA38">
        <v>0</v>
      </c>
      <c r="AB38">
        <v>0</v>
      </c>
      <c r="AC38">
        <v>0</v>
      </c>
      <c r="AD38">
        <v>0</v>
      </c>
      <c r="AE38">
        <v>0</v>
      </c>
      <c r="AF38">
        <v>0</v>
      </c>
      <c r="AG38">
        <v>0</v>
      </c>
      <c r="AH38">
        <v>0</v>
      </c>
      <c r="AI38">
        <v>0</v>
      </c>
      <c r="AJ38">
        <v>0</v>
      </c>
      <c r="AK38">
        <v>0</v>
      </c>
      <c r="AL38">
        <v>0</v>
      </c>
      <c r="AM38">
        <v>1</v>
      </c>
      <c r="AN38">
        <v>0</v>
      </c>
      <c r="AO38">
        <v>0</v>
      </c>
      <c r="AP38">
        <v>0</v>
      </c>
    </row>
    <row r="39" spans="4:42" x14ac:dyDescent="0.45">
      <c r="D39">
        <v>2021</v>
      </c>
      <c r="E39">
        <v>6</v>
      </c>
      <c r="F39">
        <v>4200000</v>
      </c>
      <c r="G39">
        <v>369036.09</v>
      </c>
      <c r="H39">
        <v>282397.15000000002</v>
      </c>
      <c r="I39">
        <v>58681.02</v>
      </c>
      <c r="J39">
        <v>34505.51</v>
      </c>
      <c r="K39">
        <v>32</v>
      </c>
      <c r="L39">
        <v>0</v>
      </c>
      <c r="M39">
        <v>15</v>
      </c>
      <c r="N39">
        <v>0</v>
      </c>
      <c r="O39">
        <v>12</v>
      </c>
      <c r="P39">
        <v>8605.5400000000009</v>
      </c>
      <c r="Q39">
        <v>99.97</v>
      </c>
      <c r="R39">
        <v>100</v>
      </c>
      <c r="S39">
        <v>0</v>
      </c>
      <c r="T39">
        <v>0</v>
      </c>
      <c r="U39">
        <v>0</v>
      </c>
      <c r="V39">
        <v>0</v>
      </c>
      <c r="W39">
        <v>0</v>
      </c>
      <c r="X39">
        <v>0</v>
      </c>
      <c r="Y39">
        <v>0</v>
      </c>
      <c r="Z39">
        <v>1</v>
      </c>
      <c r="AA39">
        <v>0</v>
      </c>
      <c r="AB39">
        <v>0</v>
      </c>
      <c r="AC39">
        <v>0</v>
      </c>
      <c r="AD39">
        <v>0</v>
      </c>
      <c r="AE39">
        <v>0</v>
      </c>
      <c r="AF39">
        <v>0</v>
      </c>
      <c r="AG39">
        <v>0</v>
      </c>
      <c r="AH39">
        <v>0</v>
      </c>
      <c r="AI39">
        <v>0</v>
      </c>
      <c r="AJ39">
        <v>0</v>
      </c>
      <c r="AK39">
        <v>0</v>
      </c>
      <c r="AL39">
        <v>1</v>
      </c>
      <c r="AM39">
        <v>0</v>
      </c>
      <c r="AN39">
        <v>0</v>
      </c>
      <c r="AO39">
        <v>0</v>
      </c>
      <c r="AP39">
        <v>0</v>
      </c>
    </row>
    <row r="40" spans="4:42" x14ac:dyDescent="0.45">
      <c r="D40">
        <v>2021</v>
      </c>
      <c r="E40">
        <v>7</v>
      </c>
      <c r="F40">
        <v>22000000</v>
      </c>
      <c r="G40">
        <v>1840670.48</v>
      </c>
      <c r="H40">
        <v>1468650.55</v>
      </c>
      <c r="I40">
        <v>349279.29</v>
      </c>
      <c r="J40">
        <v>63334</v>
      </c>
      <c r="K40">
        <v>177</v>
      </c>
      <c r="L40">
        <v>15</v>
      </c>
      <c r="M40">
        <v>993</v>
      </c>
      <c r="N40">
        <v>10</v>
      </c>
      <c r="O40">
        <v>35</v>
      </c>
      <c r="P40">
        <v>480907.45</v>
      </c>
      <c r="Q40">
        <v>103.77</v>
      </c>
      <c r="R40">
        <v>100.64</v>
      </c>
      <c r="S40">
        <v>1</v>
      </c>
      <c r="T40">
        <v>0</v>
      </c>
      <c r="U40">
        <v>0</v>
      </c>
      <c r="V40">
        <v>0</v>
      </c>
      <c r="W40">
        <v>0</v>
      </c>
      <c r="X40">
        <v>0</v>
      </c>
      <c r="Y40">
        <v>0</v>
      </c>
      <c r="Z40">
        <v>0</v>
      </c>
      <c r="AA40">
        <v>0</v>
      </c>
      <c r="AB40">
        <v>0</v>
      </c>
      <c r="AC40">
        <v>0</v>
      </c>
      <c r="AD40">
        <v>0</v>
      </c>
      <c r="AE40">
        <v>0</v>
      </c>
      <c r="AF40">
        <v>1</v>
      </c>
      <c r="AG40">
        <v>0</v>
      </c>
      <c r="AH40">
        <v>0</v>
      </c>
      <c r="AI40">
        <v>0</v>
      </c>
      <c r="AJ40">
        <v>0</v>
      </c>
      <c r="AK40">
        <v>0</v>
      </c>
      <c r="AL40">
        <v>0</v>
      </c>
      <c r="AM40">
        <v>0</v>
      </c>
      <c r="AN40">
        <v>0</v>
      </c>
      <c r="AO40">
        <v>0</v>
      </c>
      <c r="AP40">
        <v>0</v>
      </c>
    </row>
    <row r="41" spans="4:42" x14ac:dyDescent="0.45">
      <c r="D41">
        <v>2021</v>
      </c>
      <c r="E41">
        <v>7</v>
      </c>
      <c r="F41">
        <v>4800000</v>
      </c>
      <c r="G41">
        <v>392258.24</v>
      </c>
      <c r="H41">
        <v>318102.90999999997</v>
      </c>
      <c r="I41">
        <v>58617.81</v>
      </c>
      <c r="J41">
        <v>8814.2999999999993</v>
      </c>
      <c r="K41">
        <v>36</v>
      </c>
      <c r="L41">
        <v>2</v>
      </c>
      <c r="M41">
        <v>59</v>
      </c>
      <c r="N41">
        <v>1</v>
      </c>
      <c r="O41">
        <v>12</v>
      </c>
      <c r="P41">
        <v>19873.7</v>
      </c>
      <c r="Q41">
        <v>103.16</v>
      </c>
      <c r="R41">
        <v>100.8</v>
      </c>
      <c r="S41">
        <v>1</v>
      </c>
      <c r="T41">
        <v>0</v>
      </c>
      <c r="U41">
        <v>0</v>
      </c>
      <c r="V41">
        <v>0</v>
      </c>
      <c r="W41">
        <v>0</v>
      </c>
      <c r="X41">
        <v>0</v>
      </c>
      <c r="Y41">
        <v>0</v>
      </c>
      <c r="Z41">
        <v>0</v>
      </c>
      <c r="AA41">
        <v>0</v>
      </c>
      <c r="AB41">
        <v>0</v>
      </c>
      <c r="AC41">
        <v>0</v>
      </c>
      <c r="AD41">
        <v>1</v>
      </c>
      <c r="AE41">
        <v>0</v>
      </c>
      <c r="AF41">
        <v>0</v>
      </c>
      <c r="AG41">
        <v>0</v>
      </c>
      <c r="AH41">
        <v>0</v>
      </c>
      <c r="AI41">
        <v>0</v>
      </c>
      <c r="AJ41">
        <v>0</v>
      </c>
      <c r="AK41">
        <v>0</v>
      </c>
      <c r="AL41">
        <v>0</v>
      </c>
      <c r="AM41">
        <v>0</v>
      </c>
      <c r="AN41">
        <v>0</v>
      </c>
      <c r="AO41">
        <v>0</v>
      </c>
      <c r="AP41">
        <v>0</v>
      </c>
    </row>
    <row r="42" spans="4:42" x14ac:dyDescent="0.45">
      <c r="D42">
        <v>2021</v>
      </c>
      <c r="E42">
        <v>7</v>
      </c>
      <c r="F42">
        <v>19000000</v>
      </c>
      <c r="G42">
        <v>1578515.43</v>
      </c>
      <c r="H42">
        <v>705662.57</v>
      </c>
      <c r="I42">
        <v>857084.65</v>
      </c>
      <c r="J42">
        <v>44105.33</v>
      </c>
      <c r="K42">
        <v>92</v>
      </c>
      <c r="L42">
        <v>8</v>
      </c>
      <c r="M42">
        <v>332</v>
      </c>
      <c r="N42">
        <v>8</v>
      </c>
      <c r="O42">
        <v>31</v>
      </c>
      <c r="P42">
        <v>444515.59</v>
      </c>
      <c r="Q42">
        <v>103.57</v>
      </c>
      <c r="R42">
        <v>101.11</v>
      </c>
      <c r="S42">
        <v>1</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1</v>
      </c>
    </row>
    <row r="43" spans="4:42" x14ac:dyDescent="0.45">
      <c r="D43">
        <v>2021</v>
      </c>
      <c r="E43">
        <v>7</v>
      </c>
      <c r="F43">
        <v>25000000</v>
      </c>
      <c r="G43">
        <v>2113250.4300000002</v>
      </c>
      <c r="H43">
        <v>1569796.83</v>
      </c>
      <c r="I43">
        <v>398074.21</v>
      </c>
      <c r="J43">
        <v>67271.25</v>
      </c>
      <c r="K43">
        <v>208</v>
      </c>
      <c r="L43">
        <v>15</v>
      </c>
      <c r="M43">
        <v>959</v>
      </c>
      <c r="N43">
        <v>7</v>
      </c>
      <c r="O43">
        <v>37</v>
      </c>
      <c r="P43">
        <v>326641.75</v>
      </c>
      <c r="Q43">
        <v>104.43</v>
      </c>
      <c r="R43">
        <v>100.27</v>
      </c>
      <c r="S43">
        <v>1</v>
      </c>
      <c r="T43">
        <v>0</v>
      </c>
      <c r="U43">
        <v>0</v>
      </c>
      <c r="V43">
        <v>0</v>
      </c>
      <c r="W43">
        <v>0</v>
      </c>
      <c r="X43">
        <v>0</v>
      </c>
      <c r="Y43">
        <v>0</v>
      </c>
      <c r="Z43">
        <v>0</v>
      </c>
      <c r="AA43">
        <v>0</v>
      </c>
      <c r="AB43">
        <v>0</v>
      </c>
      <c r="AC43">
        <v>0</v>
      </c>
      <c r="AD43">
        <v>0</v>
      </c>
      <c r="AE43">
        <v>0</v>
      </c>
      <c r="AF43">
        <v>0</v>
      </c>
      <c r="AG43">
        <v>0</v>
      </c>
      <c r="AH43">
        <v>0</v>
      </c>
      <c r="AI43">
        <v>0</v>
      </c>
      <c r="AJ43">
        <v>0</v>
      </c>
      <c r="AK43">
        <v>0</v>
      </c>
      <c r="AL43">
        <v>0</v>
      </c>
      <c r="AM43">
        <v>1</v>
      </c>
      <c r="AN43">
        <v>0</v>
      </c>
      <c r="AO43">
        <v>0</v>
      </c>
      <c r="AP43">
        <v>0</v>
      </c>
    </row>
    <row r="44" spans="4:42" x14ac:dyDescent="0.45">
      <c r="D44">
        <v>2021</v>
      </c>
      <c r="E44">
        <v>7</v>
      </c>
      <c r="F44">
        <v>3500000</v>
      </c>
      <c r="G44">
        <v>288536.89</v>
      </c>
      <c r="H44">
        <v>240298.51</v>
      </c>
      <c r="I44">
        <v>39945.14</v>
      </c>
      <c r="J44">
        <v>3231.63</v>
      </c>
      <c r="K44">
        <v>26</v>
      </c>
      <c r="L44">
        <v>0</v>
      </c>
      <c r="M44">
        <v>61</v>
      </c>
      <c r="N44">
        <v>0</v>
      </c>
      <c r="O44">
        <v>4</v>
      </c>
      <c r="P44">
        <v>1659.09</v>
      </c>
      <c r="Q44">
        <v>106.3</v>
      </c>
      <c r="R44">
        <v>100.17</v>
      </c>
      <c r="S44">
        <v>1</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row>
    <row r="45" spans="4:42" x14ac:dyDescent="0.45">
      <c r="D45">
        <v>2021</v>
      </c>
      <c r="E45">
        <v>7</v>
      </c>
      <c r="F45">
        <v>6200000</v>
      </c>
      <c r="G45">
        <v>479240.36</v>
      </c>
      <c r="H45">
        <v>249711.76</v>
      </c>
      <c r="I45">
        <v>200493.06</v>
      </c>
      <c r="J45">
        <v>35891.22</v>
      </c>
      <c r="K45">
        <v>30</v>
      </c>
      <c r="L45">
        <v>1</v>
      </c>
      <c r="M45">
        <v>42</v>
      </c>
      <c r="N45">
        <v>3</v>
      </c>
      <c r="O45">
        <v>15</v>
      </c>
      <c r="P45">
        <v>40964.74</v>
      </c>
      <c r="Q45">
        <v>104.59</v>
      </c>
      <c r="R45">
        <v>100.87</v>
      </c>
      <c r="S45">
        <v>1</v>
      </c>
      <c r="T45">
        <v>0</v>
      </c>
      <c r="U45">
        <v>0</v>
      </c>
      <c r="V45">
        <v>0</v>
      </c>
      <c r="W45">
        <v>0</v>
      </c>
      <c r="X45">
        <v>0</v>
      </c>
      <c r="Y45">
        <v>0</v>
      </c>
      <c r="Z45">
        <v>0</v>
      </c>
      <c r="AA45">
        <v>0</v>
      </c>
      <c r="AB45">
        <v>0</v>
      </c>
      <c r="AC45">
        <v>0</v>
      </c>
      <c r="AD45">
        <v>0</v>
      </c>
      <c r="AE45">
        <v>0</v>
      </c>
      <c r="AF45">
        <v>0</v>
      </c>
      <c r="AG45">
        <v>0</v>
      </c>
      <c r="AH45">
        <v>1</v>
      </c>
      <c r="AI45">
        <v>0</v>
      </c>
      <c r="AJ45">
        <v>0</v>
      </c>
      <c r="AK45">
        <v>0</v>
      </c>
      <c r="AL45">
        <v>0</v>
      </c>
      <c r="AM45">
        <v>0</v>
      </c>
      <c r="AN45">
        <v>0</v>
      </c>
      <c r="AO45">
        <v>0</v>
      </c>
      <c r="AP45">
        <v>0</v>
      </c>
    </row>
    <row r="46" spans="4:42" x14ac:dyDescent="0.45">
      <c r="D46">
        <v>2021</v>
      </c>
      <c r="E46">
        <v>7</v>
      </c>
      <c r="F46">
        <v>8000000</v>
      </c>
      <c r="G46">
        <v>604580.13</v>
      </c>
      <c r="H46">
        <v>426913.76</v>
      </c>
      <c r="I46">
        <v>174715.43</v>
      </c>
      <c r="J46">
        <v>19190.36</v>
      </c>
      <c r="K46">
        <v>63</v>
      </c>
      <c r="L46">
        <v>5</v>
      </c>
      <c r="M46">
        <v>132</v>
      </c>
      <c r="N46">
        <v>2</v>
      </c>
      <c r="O46">
        <v>16</v>
      </c>
      <c r="P46">
        <v>48815.06</v>
      </c>
      <c r="Q46">
        <v>103.28</v>
      </c>
      <c r="R46">
        <v>101.14</v>
      </c>
      <c r="S46">
        <v>1</v>
      </c>
      <c r="T46">
        <v>0</v>
      </c>
      <c r="U46">
        <v>0</v>
      </c>
      <c r="V46">
        <v>0</v>
      </c>
      <c r="W46">
        <v>0</v>
      </c>
      <c r="X46">
        <v>0</v>
      </c>
      <c r="Y46">
        <v>0</v>
      </c>
      <c r="Z46">
        <v>0</v>
      </c>
      <c r="AA46">
        <v>0</v>
      </c>
      <c r="AB46">
        <v>0</v>
      </c>
      <c r="AC46">
        <v>0</v>
      </c>
      <c r="AD46">
        <v>0</v>
      </c>
      <c r="AE46">
        <v>0</v>
      </c>
      <c r="AF46">
        <v>0</v>
      </c>
      <c r="AG46">
        <v>0</v>
      </c>
      <c r="AH46">
        <v>0</v>
      </c>
      <c r="AI46">
        <v>0</v>
      </c>
      <c r="AJ46">
        <v>1</v>
      </c>
      <c r="AK46">
        <v>0</v>
      </c>
      <c r="AL46">
        <v>0</v>
      </c>
      <c r="AM46">
        <v>0</v>
      </c>
      <c r="AN46">
        <v>0</v>
      </c>
      <c r="AO46">
        <v>0</v>
      </c>
      <c r="AP46">
        <v>0</v>
      </c>
    </row>
    <row r="47" spans="4:42" x14ac:dyDescent="0.45">
      <c r="D47">
        <v>2021</v>
      </c>
      <c r="E47">
        <v>7</v>
      </c>
      <c r="F47">
        <v>4200000</v>
      </c>
      <c r="G47">
        <v>339083.54</v>
      </c>
      <c r="H47">
        <v>275777.06</v>
      </c>
      <c r="I47">
        <v>57296.97</v>
      </c>
      <c r="J47">
        <v>6529.23</v>
      </c>
      <c r="K47">
        <v>31</v>
      </c>
      <c r="L47">
        <v>4</v>
      </c>
      <c r="M47">
        <v>47</v>
      </c>
      <c r="N47">
        <v>0</v>
      </c>
      <c r="O47">
        <v>11</v>
      </c>
      <c r="P47">
        <v>174335</v>
      </c>
      <c r="Q47">
        <v>102.79</v>
      </c>
      <c r="R47">
        <v>101.36</v>
      </c>
      <c r="S47">
        <v>1</v>
      </c>
      <c r="T47">
        <v>0</v>
      </c>
      <c r="U47">
        <v>0</v>
      </c>
      <c r="V47">
        <v>0</v>
      </c>
      <c r="W47">
        <v>0</v>
      </c>
      <c r="X47">
        <v>0</v>
      </c>
      <c r="Y47">
        <v>0</v>
      </c>
      <c r="Z47">
        <v>0</v>
      </c>
      <c r="AA47">
        <v>0</v>
      </c>
      <c r="AB47">
        <v>0</v>
      </c>
      <c r="AC47">
        <v>0</v>
      </c>
      <c r="AD47">
        <v>0</v>
      </c>
      <c r="AE47">
        <v>0</v>
      </c>
      <c r="AF47">
        <v>0</v>
      </c>
      <c r="AG47">
        <v>0</v>
      </c>
      <c r="AH47">
        <v>0</v>
      </c>
      <c r="AI47">
        <v>0</v>
      </c>
      <c r="AJ47">
        <v>0</v>
      </c>
      <c r="AK47">
        <v>0</v>
      </c>
      <c r="AL47">
        <v>1</v>
      </c>
      <c r="AM47">
        <v>0</v>
      </c>
      <c r="AN47">
        <v>0</v>
      </c>
      <c r="AO47">
        <v>0</v>
      </c>
      <c r="AP47">
        <v>0</v>
      </c>
    </row>
    <row r="48" spans="4:42" x14ac:dyDescent="0.45">
      <c r="D48">
        <v>2021</v>
      </c>
      <c r="E48">
        <v>7</v>
      </c>
      <c r="F48">
        <v>7300000</v>
      </c>
      <c r="G48">
        <v>606623.18000000005</v>
      </c>
      <c r="H48">
        <v>300343.43</v>
      </c>
      <c r="I48">
        <v>273026.71999999997</v>
      </c>
      <c r="J48">
        <v>20101.32</v>
      </c>
      <c r="K48">
        <v>43</v>
      </c>
      <c r="L48">
        <v>6</v>
      </c>
      <c r="M48">
        <v>11</v>
      </c>
      <c r="N48">
        <v>4</v>
      </c>
      <c r="O48">
        <v>11</v>
      </c>
      <c r="P48">
        <v>83371.03</v>
      </c>
      <c r="Q48">
        <v>105.29</v>
      </c>
      <c r="R48">
        <v>100.74</v>
      </c>
      <c r="S48">
        <v>1</v>
      </c>
      <c r="T48">
        <v>0</v>
      </c>
      <c r="U48">
        <v>0</v>
      </c>
      <c r="V48">
        <v>0</v>
      </c>
      <c r="W48">
        <v>0</v>
      </c>
      <c r="X48">
        <v>0</v>
      </c>
      <c r="Y48">
        <v>0</v>
      </c>
      <c r="Z48">
        <v>0</v>
      </c>
      <c r="AA48">
        <v>0</v>
      </c>
      <c r="AB48">
        <v>0</v>
      </c>
      <c r="AC48">
        <v>0</v>
      </c>
      <c r="AD48">
        <v>0</v>
      </c>
      <c r="AE48">
        <v>0</v>
      </c>
      <c r="AF48">
        <v>0</v>
      </c>
      <c r="AG48">
        <v>1</v>
      </c>
      <c r="AH48">
        <v>0</v>
      </c>
      <c r="AI48">
        <v>0</v>
      </c>
      <c r="AJ48">
        <v>0</v>
      </c>
      <c r="AK48">
        <v>0</v>
      </c>
      <c r="AL48">
        <v>0</v>
      </c>
      <c r="AM48">
        <v>0</v>
      </c>
      <c r="AN48">
        <v>0</v>
      </c>
      <c r="AO48">
        <v>0</v>
      </c>
      <c r="AP48">
        <v>0</v>
      </c>
    </row>
    <row r="49" spans="4:42" x14ac:dyDescent="0.45">
      <c r="D49">
        <v>2021</v>
      </c>
      <c r="E49">
        <v>7</v>
      </c>
      <c r="F49">
        <v>13500000</v>
      </c>
      <c r="G49">
        <v>1154673.8400000001</v>
      </c>
      <c r="H49">
        <v>551328.56999999995</v>
      </c>
      <c r="I49">
        <v>576452.03</v>
      </c>
      <c r="J49">
        <v>43487.42</v>
      </c>
      <c r="K49">
        <v>78</v>
      </c>
      <c r="L49">
        <v>4</v>
      </c>
      <c r="M49">
        <v>66</v>
      </c>
      <c r="N49">
        <v>4</v>
      </c>
      <c r="O49">
        <v>25</v>
      </c>
      <c r="P49">
        <v>125614.26</v>
      </c>
      <c r="Q49">
        <v>103.76</v>
      </c>
      <c r="R49">
        <v>100.52</v>
      </c>
      <c r="S49">
        <v>1</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1</v>
      </c>
      <c r="AO49">
        <v>0</v>
      </c>
      <c r="AP49">
        <v>0</v>
      </c>
    </row>
    <row r="50" spans="4:42" x14ac:dyDescent="0.45">
      <c r="D50">
        <v>2021</v>
      </c>
      <c r="E50">
        <v>8</v>
      </c>
      <c r="F50">
        <v>19000000</v>
      </c>
      <c r="G50">
        <v>1611850.69</v>
      </c>
      <c r="H50">
        <v>756643.3</v>
      </c>
      <c r="I50">
        <v>753715.96</v>
      </c>
      <c r="J50">
        <v>63941.56</v>
      </c>
      <c r="K50">
        <v>97</v>
      </c>
      <c r="L50">
        <v>4</v>
      </c>
      <c r="M50">
        <v>452</v>
      </c>
      <c r="N50">
        <v>5</v>
      </c>
      <c r="O50">
        <v>32</v>
      </c>
      <c r="P50">
        <v>311766.21000000002</v>
      </c>
      <c r="Q50">
        <v>105.67</v>
      </c>
      <c r="R50">
        <v>100.73</v>
      </c>
      <c r="S50">
        <v>0</v>
      </c>
      <c r="T50">
        <v>0</v>
      </c>
      <c r="U50">
        <v>0</v>
      </c>
      <c r="V50">
        <v>0</v>
      </c>
      <c r="W50">
        <v>0</v>
      </c>
      <c r="X50">
        <v>0</v>
      </c>
      <c r="Y50">
        <v>0</v>
      </c>
      <c r="Z50">
        <v>0</v>
      </c>
      <c r="AA50">
        <v>1</v>
      </c>
      <c r="AB50">
        <v>0</v>
      </c>
      <c r="AC50">
        <v>0</v>
      </c>
      <c r="AD50">
        <v>0</v>
      </c>
      <c r="AE50">
        <v>0</v>
      </c>
      <c r="AF50">
        <v>0</v>
      </c>
      <c r="AG50">
        <v>0</v>
      </c>
      <c r="AH50">
        <v>0</v>
      </c>
      <c r="AI50">
        <v>0</v>
      </c>
      <c r="AJ50">
        <v>0</v>
      </c>
      <c r="AK50">
        <v>0</v>
      </c>
      <c r="AL50">
        <v>0</v>
      </c>
      <c r="AM50">
        <v>0</v>
      </c>
      <c r="AN50">
        <v>0</v>
      </c>
      <c r="AO50">
        <v>0</v>
      </c>
      <c r="AP50">
        <v>1</v>
      </c>
    </row>
    <row r="51" spans="4:42" x14ac:dyDescent="0.45">
      <c r="D51">
        <v>2021</v>
      </c>
      <c r="E51">
        <v>8</v>
      </c>
      <c r="F51">
        <v>22000000</v>
      </c>
      <c r="G51">
        <v>1834095.47</v>
      </c>
      <c r="H51">
        <v>1474429.94</v>
      </c>
      <c r="I51">
        <v>381660.12</v>
      </c>
      <c r="J51">
        <v>43944.41</v>
      </c>
      <c r="K51">
        <v>172</v>
      </c>
      <c r="L51">
        <v>14</v>
      </c>
      <c r="M51">
        <v>849</v>
      </c>
      <c r="N51">
        <v>9</v>
      </c>
      <c r="O51">
        <v>34</v>
      </c>
      <c r="P51">
        <v>516274.66</v>
      </c>
      <c r="Q51">
        <v>107.09</v>
      </c>
      <c r="R51">
        <v>102.25</v>
      </c>
      <c r="S51">
        <v>0</v>
      </c>
      <c r="T51">
        <v>0</v>
      </c>
      <c r="U51">
        <v>0</v>
      </c>
      <c r="V51">
        <v>0</v>
      </c>
      <c r="W51">
        <v>0</v>
      </c>
      <c r="X51">
        <v>0</v>
      </c>
      <c r="Y51">
        <v>0</v>
      </c>
      <c r="Z51">
        <v>0</v>
      </c>
      <c r="AA51">
        <v>1</v>
      </c>
      <c r="AB51">
        <v>0</v>
      </c>
      <c r="AC51">
        <v>0</v>
      </c>
      <c r="AD51">
        <v>0</v>
      </c>
      <c r="AE51">
        <v>0</v>
      </c>
      <c r="AF51">
        <v>1</v>
      </c>
      <c r="AG51">
        <v>0</v>
      </c>
      <c r="AH51">
        <v>0</v>
      </c>
      <c r="AI51">
        <v>0</v>
      </c>
      <c r="AJ51">
        <v>0</v>
      </c>
      <c r="AK51">
        <v>0</v>
      </c>
      <c r="AL51">
        <v>0</v>
      </c>
      <c r="AM51">
        <v>0</v>
      </c>
      <c r="AN51">
        <v>0</v>
      </c>
      <c r="AO51">
        <v>0</v>
      </c>
      <c r="AP51">
        <v>0</v>
      </c>
    </row>
    <row r="52" spans="4:42" x14ac:dyDescent="0.45">
      <c r="D52">
        <v>2021</v>
      </c>
      <c r="E52">
        <v>8</v>
      </c>
      <c r="F52">
        <v>4200000</v>
      </c>
      <c r="G52">
        <v>329261.17</v>
      </c>
      <c r="H52">
        <v>265778.88</v>
      </c>
      <c r="I52">
        <v>63560.57</v>
      </c>
      <c r="J52">
        <v>6574.13</v>
      </c>
      <c r="K52">
        <v>31</v>
      </c>
      <c r="L52">
        <v>2</v>
      </c>
      <c r="M52">
        <v>0</v>
      </c>
      <c r="N52">
        <v>2</v>
      </c>
      <c r="O52">
        <v>12</v>
      </c>
      <c r="P52">
        <v>19562.75</v>
      </c>
      <c r="Q52">
        <v>106.45</v>
      </c>
      <c r="R52">
        <v>102.13</v>
      </c>
      <c r="S52">
        <v>0</v>
      </c>
      <c r="T52">
        <v>0</v>
      </c>
      <c r="U52">
        <v>0</v>
      </c>
      <c r="V52">
        <v>0</v>
      </c>
      <c r="W52">
        <v>0</v>
      </c>
      <c r="X52">
        <v>0</v>
      </c>
      <c r="Y52">
        <v>0</v>
      </c>
      <c r="Z52">
        <v>0</v>
      </c>
      <c r="AA52">
        <v>1</v>
      </c>
      <c r="AB52">
        <v>0</v>
      </c>
      <c r="AC52">
        <v>0</v>
      </c>
      <c r="AD52">
        <v>0</v>
      </c>
      <c r="AE52">
        <v>0</v>
      </c>
      <c r="AF52">
        <v>0</v>
      </c>
      <c r="AG52">
        <v>0</v>
      </c>
      <c r="AH52">
        <v>0</v>
      </c>
      <c r="AI52">
        <v>0</v>
      </c>
      <c r="AJ52">
        <v>0</v>
      </c>
      <c r="AK52">
        <v>0</v>
      </c>
      <c r="AL52">
        <v>1</v>
      </c>
      <c r="AM52">
        <v>0</v>
      </c>
      <c r="AN52">
        <v>0</v>
      </c>
      <c r="AO52">
        <v>0</v>
      </c>
      <c r="AP52">
        <v>0</v>
      </c>
    </row>
    <row r="53" spans="4:42" x14ac:dyDescent="0.45">
      <c r="D53">
        <v>2021</v>
      </c>
      <c r="E53">
        <v>8</v>
      </c>
      <c r="F53">
        <v>25000000</v>
      </c>
      <c r="G53">
        <v>2301122.39</v>
      </c>
      <c r="H53">
        <v>1694136.5</v>
      </c>
      <c r="I53">
        <v>516118.06</v>
      </c>
      <c r="J53">
        <v>41011.5</v>
      </c>
      <c r="K53">
        <v>213</v>
      </c>
      <c r="L53">
        <v>6</v>
      </c>
      <c r="M53">
        <v>872</v>
      </c>
      <c r="N53">
        <v>8</v>
      </c>
      <c r="O53">
        <v>35</v>
      </c>
      <c r="P53">
        <v>578609.87</v>
      </c>
      <c r="Q53">
        <v>104.83</v>
      </c>
      <c r="R53">
        <v>101.26</v>
      </c>
      <c r="S53">
        <v>0</v>
      </c>
      <c r="T53">
        <v>0</v>
      </c>
      <c r="U53">
        <v>0</v>
      </c>
      <c r="V53">
        <v>0</v>
      </c>
      <c r="W53">
        <v>0</v>
      </c>
      <c r="X53">
        <v>0</v>
      </c>
      <c r="Y53">
        <v>0</v>
      </c>
      <c r="Z53">
        <v>0</v>
      </c>
      <c r="AA53">
        <v>1</v>
      </c>
      <c r="AB53">
        <v>0</v>
      </c>
      <c r="AC53">
        <v>0</v>
      </c>
      <c r="AD53">
        <v>0</v>
      </c>
      <c r="AE53">
        <v>0</v>
      </c>
      <c r="AF53">
        <v>0</v>
      </c>
      <c r="AG53">
        <v>0</v>
      </c>
      <c r="AH53">
        <v>0</v>
      </c>
      <c r="AI53">
        <v>0</v>
      </c>
      <c r="AJ53">
        <v>0</v>
      </c>
      <c r="AK53">
        <v>0</v>
      </c>
      <c r="AL53">
        <v>0</v>
      </c>
      <c r="AM53">
        <v>1</v>
      </c>
      <c r="AN53">
        <v>0</v>
      </c>
      <c r="AO53">
        <v>0</v>
      </c>
      <c r="AP53">
        <v>0</v>
      </c>
    </row>
    <row r="54" spans="4:42" x14ac:dyDescent="0.45">
      <c r="D54">
        <v>2021</v>
      </c>
      <c r="E54">
        <v>8</v>
      </c>
      <c r="F54">
        <v>13500000</v>
      </c>
      <c r="G54">
        <v>1115555.1299999999</v>
      </c>
      <c r="H54">
        <v>500961.73</v>
      </c>
      <c r="I54">
        <v>524845.75</v>
      </c>
      <c r="J54">
        <v>69335.47</v>
      </c>
      <c r="K54">
        <v>75</v>
      </c>
      <c r="L54">
        <v>7</v>
      </c>
      <c r="M54">
        <v>110</v>
      </c>
      <c r="N54">
        <v>4</v>
      </c>
      <c r="O54">
        <v>20</v>
      </c>
      <c r="P54">
        <v>158393.09</v>
      </c>
      <c r="Q54">
        <v>102.91</v>
      </c>
      <c r="R54">
        <v>101.43</v>
      </c>
      <c r="S54">
        <v>0</v>
      </c>
      <c r="T54">
        <v>0</v>
      </c>
      <c r="U54">
        <v>0</v>
      </c>
      <c r="V54">
        <v>0</v>
      </c>
      <c r="W54">
        <v>0</v>
      </c>
      <c r="X54">
        <v>0</v>
      </c>
      <c r="Y54">
        <v>0</v>
      </c>
      <c r="Z54">
        <v>0</v>
      </c>
      <c r="AA54">
        <v>1</v>
      </c>
      <c r="AB54">
        <v>0</v>
      </c>
      <c r="AC54">
        <v>0</v>
      </c>
      <c r="AD54">
        <v>0</v>
      </c>
      <c r="AE54">
        <v>0</v>
      </c>
      <c r="AF54">
        <v>0</v>
      </c>
      <c r="AG54">
        <v>0</v>
      </c>
      <c r="AH54">
        <v>0</v>
      </c>
      <c r="AI54">
        <v>0</v>
      </c>
      <c r="AJ54">
        <v>0</v>
      </c>
      <c r="AK54">
        <v>0</v>
      </c>
      <c r="AL54">
        <v>0</v>
      </c>
      <c r="AM54">
        <v>0</v>
      </c>
      <c r="AN54">
        <v>1</v>
      </c>
      <c r="AO54">
        <v>0</v>
      </c>
      <c r="AP54">
        <v>0</v>
      </c>
    </row>
    <row r="55" spans="4:42" x14ac:dyDescent="0.45">
      <c r="D55">
        <v>2021</v>
      </c>
      <c r="E55">
        <v>8</v>
      </c>
      <c r="F55">
        <v>8000000</v>
      </c>
      <c r="G55">
        <v>672128.02</v>
      </c>
      <c r="H55">
        <v>419971.07</v>
      </c>
      <c r="I55">
        <v>219998.87</v>
      </c>
      <c r="J55">
        <v>29010.560000000001</v>
      </c>
      <c r="K55">
        <v>63</v>
      </c>
      <c r="L55">
        <v>5</v>
      </c>
      <c r="M55">
        <v>62</v>
      </c>
      <c r="N55">
        <v>3</v>
      </c>
      <c r="O55">
        <v>20</v>
      </c>
      <c r="P55">
        <v>73660.98</v>
      </c>
      <c r="Q55">
        <v>106.04</v>
      </c>
      <c r="R55">
        <v>100.93</v>
      </c>
      <c r="S55">
        <v>0</v>
      </c>
      <c r="T55">
        <v>0</v>
      </c>
      <c r="U55">
        <v>0</v>
      </c>
      <c r="V55">
        <v>0</v>
      </c>
      <c r="W55">
        <v>0</v>
      </c>
      <c r="X55">
        <v>0</v>
      </c>
      <c r="Y55">
        <v>0</v>
      </c>
      <c r="Z55">
        <v>0</v>
      </c>
      <c r="AA55">
        <v>1</v>
      </c>
      <c r="AB55">
        <v>0</v>
      </c>
      <c r="AC55">
        <v>0</v>
      </c>
      <c r="AD55">
        <v>0</v>
      </c>
      <c r="AE55">
        <v>0</v>
      </c>
      <c r="AF55">
        <v>0</v>
      </c>
      <c r="AG55">
        <v>0</v>
      </c>
      <c r="AH55">
        <v>0</v>
      </c>
      <c r="AI55">
        <v>0</v>
      </c>
      <c r="AJ55">
        <v>1</v>
      </c>
      <c r="AK55">
        <v>0</v>
      </c>
      <c r="AL55">
        <v>0</v>
      </c>
      <c r="AM55">
        <v>0</v>
      </c>
      <c r="AN55">
        <v>0</v>
      </c>
      <c r="AO55">
        <v>0</v>
      </c>
      <c r="AP55">
        <v>0</v>
      </c>
    </row>
    <row r="56" spans="4:42" x14ac:dyDescent="0.45">
      <c r="D56">
        <v>2021</v>
      </c>
      <c r="E56">
        <v>8</v>
      </c>
      <c r="F56">
        <v>7300000</v>
      </c>
      <c r="G56">
        <v>576701.78</v>
      </c>
      <c r="H56">
        <v>315668.21999999997</v>
      </c>
      <c r="I56">
        <v>212189.2</v>
      </c>
      <c r="J56">
        <v>10381.209999999999</v>
      </c>
      <c r="K56">
        <v>45</v>
      </c>
      <c r="L56">
        <v>2</v>
      </c>
      <c r="M56">
        <v>38</v>
      </c>
      <c r="N56">
        <v>2</v>
      </c>
      <c r="O56">
        <v>14</v>
      </c>
      <c r="P56">
        <v>49304.5</v>
      </c>
      <c r="Q56">
        <v>105.21</v>
      </c>
      <c r="R56">
        <v>100.77</v>
      </c>
      <c r="S56">
        <v>0</v>
      </c>
      <c r="T56">
        <v>0</v>
      </c>
      <c r="U56">
        <v>0</v>
      </c>
      <c r="V56">
        <v>0</v>
      </c>
      <c r="W56">
        <v>0</v>
      </c>
      <c r="X56">
        <v>0</v>
      </c>
      <c r="Y56">
        <v>0</v>
      </c>
      <c r="Z56">
        <v>0</v>
      </c>
      <c r="AA56">
        <v>1</v>
      </c>
      <c r="AB56">
        <v>0</v>
      </c>
      <c r="AC56">
        <v>0</v>
      </c>
      <c r="AD56">
        <v>0</v>
      </c>
      <c r="AE56">
        <v>0</v>
      </c>
      <c r="AF56">
        <v>0</v>
      </c>
      <c r="AG56">
        <v>1</v>
      </c>
      <c r="AH56">
        <v>0</v>
      </c>
      <c r="AI56">
        <v>0</v>
      </c>
      <c r="AJ56">
        <v>0</v>
      </c>
      <c r="AK56">
        <v>0</v>
      </c>
      <c r="AL56">
        <v>0</v>
      </c>
      <c r="AM56">
        <v>0</v>
      </c>
      <c r="AN56">
        <v>0</v>
      </c>
      <c r="AO56">
        <v>0</v>
      </c>
      <c r="AP56">
        <v>0</v>
      </c>
    </row>
    <row r="57" spans="4:42" x14ac:dyDescent="0.45">
      <c r="D57">
        <v>2021</v>
      </c>
      <c r="E57">
        <v>8</v>
      </c>
      <c r="F57">
        <v>3500000</v>
      </c>
      <c r="G57">
        <v>287446.48</v>
      </c>
      <c r="H57">
        <v>236934.25</v>
      </c>
      <c r="I57">
        <v>41190</v>
      </c>
      <c r="J57">
        <v>3708.81</v>
      </c>
      <c r="K57">
        <v>27</v>
      </c>
      <c r="L57">
        <v>3</v>
      </c>
      <c r="M57">
        <v>35</v>
      </c>
      <c r="N57">
        <v>2</v>
      </c>
      <c r="O57">
        <v>10</v>
      </c>
      <c r="P57">
        <v>17095.8</v>
      </c>
      <c r="Q57">
        <v>103.06</v>
      </c>
      <c r="R57">
        <v>99.63</v>
      </c>
      <c r="S57">
        <v>0</v>
      </c>
      <c r="T57">
        <v>0</v>
      </c>
      <c r="U57">
        <v>0</v>
      </c>
      <c r="V57">
        <v>0</v>
      </c>
      <c r="W57">
        <v>0</v>
      </c>
      <c r="X57">
        <v>0</v>
      </c>
      <c r="Y57">
        <v>0</v>
      </c>
      <c r="Z57">
        <v>0</v>
      </c>
      <c r="AA57">
        <v>1</v>
      </c>
      <c r="AB57">
        <v>0</v>
      </c>
      <c r="AC57">
        <v>0</v>
      </c>
      <c r="AD57">
        <v>0</v>
      </c>
      <c r="AE57">
        <v>0</v>
      </c>
      <c r="AF57">
        <v>0</v>
      </c>
      <c r="AG57">
        <v>0</v>
      </c>
      <c r="AH57">
        <v>0</v>
      </c>
      <c r="AI57">
        <v>0</v>
      </c>
      <c r="AJ57">
        <v>0</v>
      </c>
      <c r="AK57">
        <v>0</v>
      </c>
      <c r="AL57">
        <v>0</v>
      </c>
      <c r="AM57">
        <v>0</v>
      </c>
      <c r="AN57">
        <v>0</v>
      </c>
      <c r="AO57">
        <v>0</v>
      </c>
      <c r="AP57">
        <v>0</v>
      </c>
    </row>
    <row r="58" spans="4:42" x14ac:dyDescent="0.45">
      <c r="D58">
        <v>2021</v>
      </c>
      <c r="E58">
        <v>8</v>
      </c>
      <c r="F58">
        <v>4800000</v>
      </c>
      <c r="G58">
        <v>396345.38</v>
      </c>
      <c r="H58">
        <v>332551.95</v>
      </c>
      <c r="I58">
        <v>56178.79</v>
      </c>
      <c r="J58">
        <v>3291.46</v>
      </c>
      <c r="K58">
        <v>37</v>
      </c>
      <c r="L58">
        <v>2</v>
      </c>
      <c r="M58">
        <v>0</v>
      </c>
      <c r="N58">
        <v>1</v>
      </c>
      <c r="O58">
        <v>13</v>
      </c>
      <c r="P58">
        <v>13621.32</v>
      </c>
      <c r="Q58">
        <v>107.52</v>
      </c>
      <c r="R58">
        <v>100.45</v>
      </c>
      <c r="S58">
        <v>0</v>
      </c>
      <c r="T58">
        <v>0</v>
      </c>
      <c r="U58">
        <v>0</v>
      </c>
      <c r="V58">
        <v>0</v>
      </c>
      <c r="W58">
        <v>0</v>
      </c>
      <c r="X58">
        <v>0</v>
      </c>
      <c r="Y58">
        <v>0</v>
      </c>
      <c r="Z58">
        <v>0</v>
      </c>
      <c r="AA58">
        <v>1</v>
      </c>
      <c r="AB58">
        <v>0</v>
      </c>
      <c r="AC58">
        <v>0</v>
      </c>
      <c r="AD58">
        <v>1</v>
      </c>
      <c r="AE58">
        <v>0</v>
      </c>
      <c r="AF58">
        <v>0</v>
      </c>
      <c r="AG58">
        <v>0</v>
      </c>
      <c r="AH58">
        <v>0</v>
      </c>
      <c r="AI58">
        <v>0</v>
      </c>
      <c r="AJ58">
        <v>0</v>
      </c>
      <c r="AK58">
        <v>0</v>
      </c>
      <c r="AL58">
        <v>0</v>
      </c>
      <c r="AM58">
        <v>0</v>
      </c>
      <c r="AN58">
        <v>0</v>
      </c>
      <c r="AO58">
        <v>0</v>
      </c>
      <c r="AP58">
        <v>0</v>
      </c>
    </row>
    <row r="59" spans="4:42" x14ac:dyDescent="0.45">
      <c r="D59">
        <v>2021</v>
      </c>
      <c r="E59">
        <v>8</v>
      </c>
      <c r="F59">
        <v>6200000</v>
      </c>
      <c r="G59">
        <v>471657.61</v>
      </c>
      <c r="H59">
        <v>248037.72</v>
      </c>
      <c r="I59">
        <v>202386.48</v>
      </c>
      <c r="J59">
        <v>36996.04</v>
      </c>
      <c r="K59">
        <v>30</v>
      </c>
      <c r="L59">
        <v>0</v>
      </c>
      <c r="M59">
        <v>13</v>
      </c>
      <c r="N59">
        <v>2</v>
      </c>
      <c r="O59">
        <v>12</v>
      </c>
      <c r="P59">
        <v>29560.12</v>
      </c>
      <c r="Q59">
        <v>104.18</v>
      </c>
      <c r="R59">
        <v>100.77</v>
      </c>
      <c r="S59">
        <v>0</v>
      </c>
      <c r="T59">
        <v>0</v>
      </c>
      <c r="U59">
        <v>0</v>
      </c>
      <c r="V59">
        <v>0</v>
      </c>
      <c r="W59">
        <v>0</v>
      </c>
      <c r="X59">
        <v>0</v>
      </c>
      <c r="Y59">
        <v>0</v>
      </c>
      <c r="Z59">
        <v>0</v>
      </c>
      <c r="AA59">
        <v>1</v>
      </c>
      <c r="AB59">
        <v>0</v>
      </c>
      <c r="AC59">
        <v>0</v>
      </c>
      <c r="AD59">
        <v>0</v>
      </c>
      <c r="AE59">
        <v>0</v>
      </c>
      <c r="AF59">
        <v>0</v>
      </c>
      <c r="AG59">
        <v>0</v>
      </c>
      <c r="AH59">
        <v>1</v>
      </c>
      <c r="AI59">
        <v>0</v>
      </c>
      <c r="AJ59">
        <v>0</v>
      </c>
      <c r="AK59">
        <v>0</v>
      </c>
      <c r="AL59">
        <v>0</v>
      </c>
      <c r="AM59">
        <v>0</v>
      </c>
      <c r="AN59">
        <v>0</v>
      </c>
      <c r="AO59">
        <v>0</v>
      </c>
      <c r="AP59">
        <v>0</v>
      </c>
    </row>
    <row r="60" spans="4:42" x14ac:dyDescent="0.45">
      <c r="D60">
        <v>2021</v>
      </c>
      <c r="E60">
        <v>9</v>
      </c>
      <c r="F60">
        <v>8000000</v>
      </c>
      <c r="G60">
        <v>715950.73</v>
      </c>
      <c r="H60">
        <v>410497.28000000003</v>
      </c>
      <c r="I60">
        <v>223998.55</v>
      </c>
      <c r="J60">
        <v>34809.269999999997</v>
      </c>
      <c r="K60">
        <v>62</v>
      </c>
      <c r="L60">
        <v>6</v>
      </c>
      <c r="M60">
        <v>119</v>
      </c>
      <c r="N60">
        <v>2</v>
      </c>
      <c r="O60">
        <v>15</v>
      </c>
      <c r="P60">
        <v>38226.99</v>
      </c>
      <c r="Q60">
        <v>106.63</v>
      </c>
      <c r="R60">
        <v>101.8</v>
      </c>
      <c r="S60">
        <v>0</v>
      </c>
      <c r="T60">
        <v>0</v>
      </c>
      <c r="U60">
        <v>0</v>
      </c>
      <c r="V60">
        <v>0</v>
      </c>
      <c r="W60">
        <v>0</v>
      </c>
      <c r="X60">
        <v>0</v>
      </c>
      <c r="Y60">
        <v>1</v>
      </c>
      <c r="Z60">
        <v>0</v>
      </c>
      <c r="AA60">
        <v>0</v>
      </c>
      <c r="AB60">
        <v>0</v>
      </c>
      <c r="AC60">
        <v>0</v>
      </c>
      <c r="AD60">
        <v>0</v>
      </c>
      <c r="AE60">
        <v>0</v>
      </c>
      <c r="AF60">
        <v>0</v>
      </c>
      <c r="AG60">
        <v>0</v>
      </c>
      <c r="AH60">
        <v>0</v>
      </c>
      <c r="AI60">
        <v>0</v>
      </c>
      <c r="AJ60">
        <v>0</v>
      </c>
      <c r="AK60">
        <v>1</v>
      </c>
      <c r="AL60">
        <v>0</v>
      </c>
      <c r="AM60">
        <v>0</v>
      </c>
      <c r="AN60">
        <v>0</v>
      </c>
      <c r="AO60">
        <v>0</v>
      </c>
      <c r="AP60">
        <v>0</v>
      </c>
    </row>
    <row r="61" spans="4:42" x14ac:dyDescent="0.45">
      <c r="D61">
        <v>2021</v>
      </c>
      <c r="E61">
        <v>9</v>
      </c>
      <c r="F61">
        <v>19000000</v>
      </c>
      <c r="G61">
        <v>1577067.89</v>
      </c>
      <c r="H61">
        <v>664003.32999999996</v>
      </c>
      <c r="I61">
        <v>737290.18</v>
      </c>
      <c r="J61">
        <v>124674.56</v>
      </c>
      <c r="K61">
        <v>89</v>
      </c>
      <c r="L61">
        <v>4</v>
      </c>
      <c r="M61">
        <v>314</v>
      </c>
      <c r="N61">
        <v>6</v>
      </c>
      <c r="O61">
        <v>28</v>
      </c>
      <c r="P61">
        <v>305381.3</v>
      </c>
      <c r="Q61">
        <v>107.95</v>
      </c>
      <c r="R61">
        <v>101.64</v>
      </c>
      <c r="S61">
        <v>0</v>
      </c>
      <c r="T61">
        <v>0</v>
      </c>
      <c r="U61">
        <v>0</v>
      </c>
      <c r="V61">
        <v>0</v>
      </c>
      <c r="W61">
        <v>0</v>
      </c>
      <c r="X61">
        <v>0</v>
      </c>
      <c r="Y61">
        <v>1</v>
      </c>
      <c r="Z61">
        <v>0</v>
      </c>
      <c r="AA61">
        <v>0</v>
      </c>
      <c r="AB61">
        <v>0</v>
      </c>
      <c r="AC61">
        <v>0</v>
      </c>
      <c r="AD61">
        <v>0</v>
      </c>
      <c r="AE61">
        <v>0</v>
      </c>
      <c r="AF61">
        <v>0</v>
      </c>
      <c r="AG61">
        <v>0</v>
      </c>
      <c r="AH61">
        <v>0</v>
      </c>
      <c r="AI61">
        <v>0</v>
      </c>
      <c r="AJ61">
        <v>0</v>
      </c>
      <c r="AK61">
        <v>0</v>
      </c>
      <c r="AL61">
        <v>0</v>
      </c>
      <c r="AM61">
        <v>0</v>
      </c>
      <c r="AN61">
        <v>0</v>
      </c>
      <c r="AO61">
        <v>0</v>
      </c>
      <c r="AP61">
        <v>1</v>
      </c>
    </row>
    <row r="62" spans="4:42" x14ac:dyDescent="0.45">
      <c r="D62">
        <v>2021</v>
      </c>
      <c r="E62">
        <v>9</v>
      </c>
      <c r="F62">
        <v>25000000</v>
      </c>
      <c r="G62">
        <v>2173605.0299999998</v>
      </c>
      <c r="H62">
        <v>1635899.58</v>
      </c>
      <c r="I62">
        <v>435466.34</v>
      </c>
      <c r="J62">
        <v>57400.02</v>
      </c>
      <c r="K62">
        <v>207</v>
      </c>
      <c r="L62">
        <v>16</v>
      </c>
      <c r="M62">
        <v>660</v>
      </c>
      <c r="N62">
        <v>8</v>
      </c>
      <c r="O62">
        <v>35</v>
      </c>
      <c r="P62">
        <v>461180.81</v>
      </c>
      <c r="Q62">
        <v>101.79</v>
      </c>
      <c r="R62">
        <v>101.45</v>
      </c>
      <c r="S62">
        <v>0</v>
      </c>
      <c r="T62">
        <v>0</v>
      </c>
      <c r="U62">
        <v>0</v>
      </c>
      <c r="V62">
        <v>0</v>
      </c>
      <c r="W62">
        <v>0</v>
      </c>
      <c r="X62">
        <v>0</v>
      </c>
      <c r="Y62">
        <v>1</v>
      </c>
      <c r="Z62">
        <v>0</v>
      </c>
      <c r="AA62">
        <v>0</v>
      </c>
      <c r="AB62">
        <v>0</v>
      </c>
      <c r="AC62">
        <v>0</v>
      </c>
      <c r="AD62">
        <v>0</v>
      </c>
      <c r="AE62">
        <v>0</v>
      </c>
      <c r="AF62">
        <v>0</v>
      </c>
      <c r="AG62">
        <v>0</v>
      </c>
      <c r="AH62">
        <v>0</v>
      </c>
      <c r="AI62">
        <v>0</v>
      </c>
      <c r="AJ62">
        <v>0</v>
      </c>
      <c r="AK62">
        <v>0</v>
      </c>
      <c r="AL62">
        <v>0</v>
      </c>
      <c r="AM62">
        <v>1</v>
      </c>
      <c r="AN62">
        <v>0</v>
      </c>
      <c r="AO62">
        <v>0</v>
      </c>
      <c r="AP62">
        <v>0</v>
      </c>
    </row>
    <row r="63" spans="4:42" x14ac:dyDescent="0.45">
      <c r="D63">
        <v>2021</v>
      </c>
      <c r="E63">
        <v>9</v>
      </c>
      <c r="F63">
        <v>3500000</v>
      </c>
      <c r="G63">
        <v>284516.71000000002</v>
      </c>
      <c r="H63">
        <v>239174.91</v>
      </c>
      <c r="I63">
        <v>38714.78</v>
      </c>
      <c r="J63">
        <v>2746.01</v>
      </c>
      <c r="K63">
        <v>27</v>
      </c>
      <c r="L63">
        <v>1</v>
      </c>
      <c r="M63">
        <v>27</v>
      </c>
      <c r="N63">
        <v>5</v>
      </c>
      <c r="O63">
        <v>15</v>
      </c>
      <c r="P63">
        <v>44941.99</v>
      </c>
      <c r="Q63">
        <v>106.46</v>
      </c>
      <c r="R63">
        <v>101.86</v>
      </c>
      <c r="S63">
        <v>0</v>
      </c>
      <c r="T63">
        <v>0</v>
      </c>
      <c r="U63">
        <v>0</v>
      </c>
      <c r="V63">
        <v>0</v>
      </c>
      <c r="W63">
        <v>0</v>
      </c>
      <c r="X63">
        <v>0</v>
      </c>
      <c r="Y63">
        <v>1</v>
      </c>
      <c r="Z63">
        <v>0</v>
      </c>
      <c r="AA63">
        <v>0</v>
      </c>
      <c r="AB63">
        <v>0</v>
      </c>
      <c r="AC63">
        <v>0</v>
      </c>
      <c r="AD63">
        <v>0</v>
      </c>
      <c r="AE63">
        <v>0</v>
      </c>
      <c r="AF63">
        <v>0</v>
      </c>
      <c r="AG63">
        <v>0</v>
      </c>
      <c r="AH63">
        <v>0</v>
      </c>
      <c r="AI63">
        <v>0</v>
      </c>
      <c r="AJ63">
        <v>0</v>
      </c>
      <c r="AK63">
        <v>0</v>
      </c>
      <c r="AL63">
        <v>0</v>
      </c>
      <c r="AM63">
        <v>0</v>
      </c>
      <c r="AN63">
        <v>0</v>
      </c>
      <c r="AO63">
        <v>0</v>
      </c>
      <c r="AP63">
        <v>0</v>
      </c>
    </row>
    <row r="64" spans="4:42" x14ac:dyDescent="0.45">
      <c r="D64">
        <v>2021</v>
      </c>
      <c r="E64">
        <v>9</v>
      </c>
      <c r="F64">
        <v>7300000</v>
      </c>
      <c r="G64">
        <v>618327.03</v>
      </c>
      <c r="H64">
        <v>319949.92</v>
      </c>
      <c r="I64">
        <v>294233.8</v>
      </c>
      <c r="J64">
        <v>16925.88</v>
      </c>
      <c r="K64">
        <v>43</v>
      </c>
      <c r="L64">
        <v>1</v>
      </c>
      <c r="M64">
        <v>77</v>
      </c>
      <c r="N64">
        <v>2</v>
      </c>
      <c r="O64">
        <v>16</v>
      </c>
      <c r="P64">
        <v>53207.97</v>
      </c>
      <c r="Q64">
        <v>103.95</v>
      </c>
      <c r="R64">
        <v>101.73</v>
      </c>
      <c r="S64">
        <v>0</v>
      </c>
      <c r="T64">
        <v>0</v>
      </c>
      <c r="U64">
        <v>0</v>
      </c>
      <c r="V64">
        <v>0</v>
      </c>
      <c r="W64">
        <v>0</v>
      </c>
      <c r="X64">
        <v>0</v>
      </c>
      <c r="Y64">
        <v>1</v>
      </c>
      <c r="Z64">
        <v>0</v>
      </c>
      <c r="AA64">
        <v>0</v>
      </c>
      <c r="AB64">
        <v>0</v>
      </c>
      <c r="AC64">
        <v>0</v>
      </c>
      <c r="AD64">
        <v>0</v>
      </c>
      <c r="AE64">
        <v>0</v>
      </c>
      <c r="AF64">
        <v>0</v>
      </c>
      <c r="AG64">
        <v>1</v>
      </c>
      <c r="AH64">
        <v>0</v>
      </c>
      <c r="AI64">
        <v>0</v>
      </c>
      <c r="AJ64">
        <v>0</v>
      </c>
      <c r="AK64">
        <v>0</v>
      </c>
      <c r="AL64">
        <v>0</v>
      </c>
      <c r="AM64">
        <v>0</v>
      </c>
      <c r="AN64">
        <v>0</v>
      </c>
      <c r="AO64">
        <v>0</v>
      </c>
      <c r="AP64">
        <v>0</v>
      </c>
    </row>
    <row r="65" spans="4:42" x14ac:dyDescent="0.45">
      <c r="D65">
        <v>2021</v>
      </c>
      <c r="E65">
        <v>9</v>
      </c>
      <c r="F65">
        <v>13500000</v>
      </c>
      <c r="G65">
        <v>1234596.2</v>
      </c>
      <c r="H65">
        <v>532377.59999999998</v>
      </c>
      <c r="I65">
        <v>496014.49</v>
      </c>
      <c r="J65">
        <v>208706.06</v>
      </c>
      <c r="K65">
        <v>79</v>
      </c>
      <c r="L65">
        <v>5</v>
      </c>
      <c r="M65">
        <v>75</v>
      </c>
      <c r="N65">
        <v>5</v>
      </c>
      <c r="O65">
        <v>25</v>
      </c>
      <c r="P65">
        <v>133777.89000000001</v>
      </c>
      <c r="Q65">
        <v>106.8</v>
      </c>
      <c r="R65">
        <v>100.52</v>
      </c>
      <c r="S65">
        <v>0</v>
      </c>
      <c r="T65">
        <v>0</v>
      </c>
      <c r="U65">
        <v>0</v>
      </c>
      <c r="V65">
        <v>0</v>
      </c>
      <c r="W65">
        <v>0</v>
      </c>
      <c r="X65">
        <v>0</v>
      </c>
      <c r="Y65">
        <v>1</v>
      </c>
      <c r="Z65">
        <v>0</v>
      </c>
      <c r="AA65">
        <v>0</v>
      </c>
      <c r="AB65">
        <v>0</v>
      </c>
      <c r="AC65">
        <v>0</v>
      </c>
      <c r="AD65">
        <v>0</v>
      </c>
      <c r="AE65">
        <v>0</v>
      </c>
      <c r="AF65">
        <v>0</v>
      </c>
      <c r="AG65">
        <v>0</v>
      </c>
      <c r="AH65">
        <v>0</v>
      </c>
      <c r="AI65">
        <v>0</v>
      </c>
      <c r="AJ65">
        <v>0</v>
      </c>
      <c r="AK65">
        <v>0</v>
      </c>
      <c r="AL65">
        <v>0</v>
      </c>
      <c r="AM65">
        <v>0</v>
      </c>
      <c r="AN65">
        <v>1</v>
      </c>
      <c r="AO65">
        <v>0</v>
      </c>
      <c r="AP65">
        <v>0</v>
      </c>
    </row>
    <row r="66" spans="4:42" x14ac:dyDescent="0.45">
      <c r="D66">
        <v>2021</v>
      </c>
      <c r="E66">
        <v>9</v>
      </c>
      <c r="F66">
        <v>22000000</v>
      </c>
      <c r="G66">
        <v>1789855.45</v>
      </c>
      <c r="H66">
        <v>1506975.11</v>
      </c>
      <c r="I66">
        <v>330957.13</v>
      </c>
      <c r="J66">
        <v>33019.99</v>
      </c>
      <c r="K66">
        <v>180</v>
      </c>
      <c r="L66">
        <v>13</v>
      </c>
      <c r="M66">
        <v>799</v>
      </c>
      <c r="N66">
        <v>4</v>
      </c>
      <c r="O66">
        <v>26</v>
      </c>
      <c r="P66">
        <v>312922.59000000003</v>
      </c>
      <c r="Q66">
        <v>104.63</v>
      </c>
      <c r="R66">
        <v>101.25</v>
      </c>
      <c r="S66">
        <v>0</v>
      </c>
      <c r="T66">
        <v>0</v>
      </c>
      <c r="U66">
        <v>0</v>
      </c>
      <c r="V66">
        <v>0</v>
      </c>
      <c r="W66">
        <v>0</v>
      </c>
      <c r="X66">
        <v>0</v>
      </c>
      <c r="Y66">
        <v>1</v>
      </c>
      <c r="Z66">
        <v>0</v>
      </c>
      <c r="AA66">
        <v>0</v>
      </c>
      <c r="AB66">
        <v>0</v>
      </c>
      <c r="AC66">
        <v>0</v>
      </c>
      <c r="AD66">
        <v>0</v>
      </c>
      <c r="AE66">
        <v>0</v>
      </c>
      <c r="AF66">
        <v>1</v>
      </c>
      <c r="AG66">
        <v>0</v>
      </c>
      <c r="AH66">
        <v>0</v>
      </c>
      <c r="AI66">
        <v>0</v>
      </c>
      <c r="AJ66">
        <v>0</v>
      </c>
      <c r="AK66">
        <v>0</v>
      </c>
      <c r="AL66">
        <v>0</v>
      </c>
      <c r="AM66">
        <v>0</v>
      </c>
      <c r="AN66">
        <v>0</v>
      </c>
      <c r="AO66">
        <v>0</v>
      </c>
      <c r="AP66">
        <v>0</v>
      </c>
    </row>
    <row r="67" spans="4:42" x14ac:dyDescent="0.45">
      <c r="D67">
        <v>2021</v>
      </c>
      <c r="E67">
        <v>9</v>
      </c>
      <c r="F67">
        <v>4800000</v>
      </c>
      <c r="G67">
        <v>393812.58</v>
      </c>
      <c r="H67">
        <v>334998.38</v>
      </c>
      <c r="I67">
        <v>60390.74</v>
      </c>
      <c r="J67">
        <v>10791.63</v>
      </c>
      <c r="K67">
        <v>36</v>
      </c>
      <c r="L67">
        <v>1</v>
      </c>
      <c r="M67">
        <v>41</v>
      </c>
      <c r="N67">
        <v>2</v>
      </c>
      <c r="O67">
        <v>14</v>
      </c>
      <c r="P67">
        <v>19788.240000000002</v>
      </c>
      <c r="Q67">
        <v>105.44</v>
      </c>
      <c r="R67">
        <v>101.53</v>
      </c>
      <c r="S67">
        <v>0</v>
      </c>
      <c r="T67">
        <v>0</v>
      </c>
      <c r="U67">
        <v>0</v>
      </c>
      <c r="V67">
        <v>0</v>
      </c>
      <c r="W67">
        <v>0</v>
      </c>
      <c r="X67">
        <v>0</v>
      </c>
      <c r="Y67">
        <v>1</v>
      </c>
      <c r="Z67">
        <v>0</v>
      </c>
      <c r="AA67">
        <v>0</v>
      </c>
      <c r="AB67">
        <v>0</v>
      </c>
      <c r="AC67">
        <v>0</v>
      </c>
      <c r="AD67">
        <v>1</v>
      </c>
      <c r="AE67">
        <v>0</v>
      </c>
      <c r="AF67">
        <v>0</v>
      </c>
      <c r="AG67">
        <v>0</v>
      </c>
      <c r="AH67">
        <v>0</v>
      </c>
      <c r="AI67">
        <v>0</v>
      </c>
      <c r="AJ67">
        <v>0</v>
      </c>
      <c r="AK67">
        <v>0</v>
      </c>
      <c r="AL67">
        <v>0</v>
      </c>
      <c r="AM67">
        <v>0</v>
      </c>
      <c r="AN67">
        <v>0</v>
      </c>
      <c r="AO67">
        <v>0</v>
      </c>
      <c r="AP67">
        <v>0</v>
      </c>
    </row>
    <row r="68" spans="4:42" x14ac:dyDescent="0.45">
      <c r="D68">
        <v>2021</v>
      </c>
      <c r="E68">
        <v>9</v>
      </c>
      <c r="F68">
        <v>4200000</v>
      </c>
      <c r="G68">
        <v>357215.38</v>
      </c>
      <c r="H68">
        <v>291120.63</v>
      </c>
      <c r="I68">
        <v>61980.03</v>
      </c>
      <c r="J68">
        <v>9812.44</v>
      </c>
      <c r="K68">
        <v>32</v>
      </c>
      <c r="L68">
        <v>3</v>
      </c>
      <c r="M68">
        <v>50</v>
      </c>
      <c r="N68">
        <v>4</v>
      </c>
      <c r="O68">
        <v>16</v>
      </c>
      <c r="P68">
        <v>40367.39</v>
      </c>
      <c r="Q68">
        <v>105.64</v>
      </c>
      <c r="R68">
        <v>102.94</v>
      </c>
      <c r="S68">
        <v>0</v>
      </c>
      <c r="T68">
        <v>0</v>
      </c>
      <c r="U68">
        <v>0</v>
      </c>
      <c r="V68">
        <v>0</v>
      </c>
      <c r="W68">
        <v>0</v>
      </c>
      <c r="X68">
        <v>0</v>
      </c>
      <c r="Y68">
        <v>1</v>
      </c>
      <c r="Z68">
        <v>0</v>
      </c>
      <c r="AA68">
        <v>0</v>
      </c>
      <c r="AB68">
        <v>0</v>
      </c>
      <c r="AC68">
        <v>0</v>
      </c>
      <c r="AD68">
        <v>0</v>
      </c>
      <c r="AE68">
        <v>0</v>
      </c>
      <c r="AF68">
        <v>0</v>
      </c>
      <c r="AG68">
        <v>0</v>
      </c>
      <c r="AH68">
        <v>0</v>
      </c>
      <c r="AI68">
        <v>0</v>
      </c>
      <c r="AJ68">
        <v>0</v>
      </c>
      <c r="AK68">
        <v>0</v>
      </c>
      <c r="AL68">
        <v>1</v>
      </c>
      <c r="AM68">
        <v>0</v>
      </c>
      <c r="AN68">
        <v>0</v>
      </c>
      <c r="AO68">
        <v>0</v>
      </c>
      <c r="AP68">
        <v>0</v>
      </c>
    </row>
    <row r="69" spans="4:42" x14ac:dyDescent="0.45">
      <c r="D69">
        <v>2021</v>
      </c>
      <c r="E69">
        <v>9</v>
      </c>
      <c r="F69">
        <v>6200000</v>
      </c>
      <c r="G69">
        <v>500030.93</v>
      </c>
      <c r="H69">
        <v>253392.02</v>
      </c>
      <c r="I69">
        <v>232996.53</v>
      </c>
      <c r="J69">
        <v>16543.919999999998</v>
      </c>
      <c r="K69">
        <v>30</v>
      </c>
      <c r="L69">
        <v>1</v>
      </c>
      <c r="M69">
        <v>30</v>
      </c>
      <c r="N69">
        <v>2</v>
      </c>
      <c r="O69">
        <v>16</v>
      </c>
      <c r="P69">
        <v>33603.99</v>
      </c>
      <c r="Q69">
        <v>103.88</v>
      </c>
      <c r="R69">
        <v>102.05</v>
      </c>
      <c r="S69">
        <v>0</v>
      </c>
      <c r="T69">
        <v>0</v>
      </c>
      <c r="U69">
        <v>0</v>
      </c>
      <c r="V69">
        <v>0</v>
      </c>
      <c r="W69">
        <v>0</v>
      </c>
      <c r="X69">
        <v>0</v>
      </c>
      <c r="Y69">
        <v>1</v>
      </c>
      <c r="Z69">
        <v>0</v>
      </c>
      <c r="AA69">
        <v>0</v>
      </c>
      <c r="AB69">
        <v>0</v>
      </c>
      <c r="AC69">
        <v>0</v>
      </c>
      <c r="AD69">
        <v>0</v>
      </c>
      <c r="AE69">
        <v>0</v>
      </c>
      <c r="AF69">
        <v>0</v>
      </c>
      <c r="AG69">
        <v>0</v>
      </c>
      <c r="AH69">
        <v>1</v>
      </c>
      <c r="AI69">
        <v>0</v>
      </c>
      <c r="AJ69">
        <v>0</v>
      </c>
      <c r="AK69">
        <v>0</v>
      </c>
      <c r="AL69">
        <v>0</v>
      </c>
      <c r="AM69">
        <v>0</v>
      </c>
      <c r="AN69">
        <v>0</v>
      </c>
      <c r="AO69">
        <v>0</v>
      </c>
      <c r="AP69">
        <v>0</v>
      </c>
    </row>
    <row r="70" spans="4:42" x14ac:dyDescent="0.45">
      <c r="D70">
        <v>2021</v>
      </c>
      <c r="E70">
        <v>10</v>
      </c>
      <c r="F70">
        <v>25000000</v>
      </c>
      <c r="G70">
        <v>1995126</v>
      </c>
      <c r="H70">
        <v>1621807.4</v>
      </c>
      <c r="I70">
        <v>381748.95</v>
      </c>
      <c r="J70">
        <v>37588.230000000003</v>
      </c>
      <c r="K70">
        <v>203</v>
      </c>
      <c r="L70">
        <v>18</v>
      </c>
      <c r="M70">
        <v>890</v>
      </c>
      <c r="N70">
        <v>9</v>
      </c>
      <c r="O70">
        <v>34</v>
      </c>
      <c r="P70">
        <v>546724.69999999995</v>
      </c>
      <c r="Q70">
        <v>106.22</v>
      </c>
      <c r="R70">
        <v>101.46</v>
      </c>
      <c r="S70">
        <v>0</v>
      </c>
      <c r="T70">
        <v>0</v>
      </c>
      <c r="U70">
        <v>0</v>
      </c>
      <c r="V70">
        <v>0</v>
      </c>
      <c r="W70">
        <v>0</v>
      </c>
      <c r="X70">
        <v>1</v>
      </c>
      <c r="Y70">
        <v>0</v>
      </c>
      <c r="Z70">
        <v>0</v>
      </c>
      <c r="AA70">
        <v>0</v>
      </c>
      <c r="AB70">
        <v>0</v>
      </c>
      <c r="AC70">
        <v>0</v>
      </c>
      <c r="AD70">
        <v>0</v>
      </c>
      <c r="AE70">
        <v>0</v>
      </c>
      <c r="AF70">
        <v>0</v>
      </c>
      <c r="AG70">
        <v>0</v>
      </c>
      <c r="AH70">
        <v>0</v>
      </c>
      <c r="AI70">
        <v>0</v>
      </c>
      <c r="AJ70">
        <v>0</v>
      </c>
      <c r="AK70">
        <v>0</v>
      </c>
      <c r="AL70">
        <v>0</v>
      </c>
      <c r="AM70">
        <v>1</v>
      </c>
      <c r="AN70">
        <v>0</v>
      </c>
      <c r="AO70">
        <v>0</v>
      </c>
      <c r="AP70">
        <v>0</v>
      </c>
    </row>
    <row r="71" spans="4:42" x14ac:dyDescent="0.45">
      <c r="D71">
        <v>2021</v>
      </c>
      <c r="E71">
        <v>10</v>
      </c>
      <c r="F71">
        <v>3500000</v>
      </c>
      <c r="G71">
        <v>307646.77</v>
      </c>
      <c r="H71">
        <v>264102.53999999998</v>
      </c>
      <c r="I71">
        <v>38113.760000000002</v>
      </c>
      <c r="J71">
        <v>5586.98</v>
      </c>
      <c r="K71">
        <v>27</v>
      </c>
      <c r="L71">
        <v>5</v>
      </c>
      <c r="M71">
        <v>50</v>
      </c>
      <c r="N71">
        <v>1</v>
      </c>
      <c r="O71">
        <v>9</v>
      </c>
      <c r="P71">
        <v>10744.69</v>
      </c>
      <c r="Q71">
        <v>109.49</v>
      </c>
      <c r="R71">
        <v>100.89</v>
      </c>
      <c r="S71">
        <v>0</v>
      </c>
      <c r="T71">
        <v>0</v>
      </c>
      <c r="U71">
        <v>0</v>
      </c>
      <c r="V71">
        <v>0</v>
      </c>
      <c r="W71">
        <v>0</v>
      </c>
      <c r="X71">
        <v>1</v>
      </c>
      <c r="Y71">
        <v>0</v>
      </c>
      <c r="Z71">
        <v>0</v>
      </c>
      <c r="AA71">
        <v>0</v>
      </c>
      <c r="AB71">
        <v>0</v>
      </c>
      <c r="AC71">
        <v>0</v>
      </c>
      <c r="AD71">
        <v>0</v>
      </c>
      <c r="AE71">
        <v>0</v>
      </c>
      <c r="AF71">
        <v>0</v>
      </c>
      <c r="AG71">
        <v>0</v>
      </c>
      <c r="AH71">
        <v>0</v>
      </c>
      <c r="AI71">
        <v>0</v>
      </c>
      <c r="AJ71">
        <v>0</v>
      </c>
      <c r="AK71">
        <v>0</v>
      </c>
      <c r="AL71">
        <v>0</v>
      </c>
      <c r="AM71">
        <v>0</v>
      </c>
      <c r="AN71">
        <v>0</v>
      </c>
      <c r="AO71">
        <v>0</v>
      </c>
      <c r="AP71">
        <v>0</v>
      </c>
    </row>
    <row r="72" spans="4:42" x14ac:dyDescent="0.45">
      <c r="D72">
        <v>2021</v>
      </c>
      <c r="E72">
        <v>10</v>
      </c>
      <c r="F72">
        <v>4800000</v>
      </c>
      <c r="G72">
        <v>370790.96</v>
      </c>
      <c r="H72">
        <v>307247.56</v>
      </c>
      <c r="I72">
        <v>57225.2</v>
      </c>
      <c r="J72">
        <v>4433.95</v>
      </c>
      <c r="K72">
        <v>35</v>
      </c>
      <c r="L72">
        <v>0</v>
      </c>
      <c r="M72">
        <v>40</v>
      </c>
      <c r="N72">
        <v>2</v>
      </c>
      <c r="O72">
        <v>10</v>
      </c>
      <c r="P72">
        <v>27592.42</v>
      </c>
      <c r="Q72">
        <v>106.32</v>
      </c>
      <c r="R72">
        <v>102.23</v>
      </c>
      <c r="S72">
        <v>0</v>
      </c>
      <c r="T72">
        <v>0</v>
      </c>
      <c r="U72">
        <v>0</v>
      </c>
      <c r="V72">
        <v>0</v>
      </c>
      <c r="W72">
        <v>0</v>
      </c>
      <c r="X72">
        <v>1</v>
      </c>
      <c r="Y72">
        <v>0</v>
      </c>
      <c r="Z72">
        <v>0</v>
      </c>
      <c r="AA72">
        <v>0</v>
      </c>
      <c r="AB72">
        <v>0</v>
      </c>
      <c r="AC72">
        <v>0</v>
      </c>
      <c r="AD72">
        <v>1</v>
      </c>
      <c r="AE72">
        <v>0</v>
      </c>
      <c r="AF72">
        <v>0</v>
      </c>
      <c r="AG72">
        <v>0</v>
      </c>
      <c r="AH72">
        <v>0</v>
      </c>
      <c r="AI72">
        <v>0</v>
      </c>
      <c r="AJ72">
        <v>0</v>
      </c>
      <c r="AK72">
        <v>0</v>
      </c>
      <c r="AL72">
        <v>0</v>
      </c>
      <c r="AM72">
        <v>0</v>
      </c>
      <c r="AN72">
        <v>0</v>
      </c>
      <c r="AO72">
        <v>0</v>
      </c>
      <c r="AP72">
        <v>0</v>
      </c>
    </row>
    <row r="73" spans="4:42" x14ac:dyDescent="0.45">
      <c r="D73">
        <v>2021</v>
      </c>
      <c r="E73">
        <v>10</v>
      </c>
      <c r="F73">
        <v>7300000</v>
      </c>
      <c r="G73">
        <v>597439.18000000005</v>
      </c>
      <c r="H73">
        <v>322420.87</v>
      </c>
      <c r="I73">
        <v>249309.44</v>
      </c>
      <c r="J73">
        <v>24541.759999999998</v>
      </c>
      <c r="K73">
        <v>44</v>
      </c>
      <c r="L73">
        <v>2</v>
      </c>
      <c r="M73">
        <v>88</v>
      </c>
      <c r="N73">
        <v>0</v>
      </c>
      <c r="O73">
        <v>14</v>
      </c>
      <c r="P73">
        <v>11676.08</v>
      </c>
      <c r="Q73">
        <v>108.22</v>
      </c>
      <c r="R73">
        <v>100.97</v>
      </c>
      <c r="S73">
        <v>0</v>
      </c>
      <c r="T73">
        <v>0</v>
      </c>
      <c r="U73">
        <v>0</v>
      </c>
      <c r="V73">
        <v>0</v>
      </c>
      <c r="W73">
        <v>0</v>
      </c>
      <c r="X73">
        <v>1</v>
      </c>
      <c r="Y73">
        <v>0</v>
      </c>
      <c r="Z73">
        <v>0</v>
      </c>
      <c r="AA73">
        <v>0</v>
      </c>
      <c r="AB73">
        <v>0</v>
      </c>
      <c r="AC73">
        <v>0</v>
      </c>
      <c r="AD73">
        <v>0</v>
      </c>
      <c r="AE73">
        <v>0</v>
      </c>
      <c r="AF73">
        <v>0</v>
      </c>
      <c r="AG73">
        <v>1</v>
      </c>
      <c r="AH73">
        <v>0</v>
      </c>
      <c r="AI73">
        <v>0</v>
      </c>
      <c r="AJ73">
        <v>0</v>
      </c>
      <c r="AK73">
        <v>0</v>
      </c>
      <c r="AL73">
        <v>0</v>
      </c>
      <c r="AM73">
        <v>0</v>
      </c>
      <c r="AN73">
        <v>0</v>
      </c>
      <c r="AO73">
        <v>0</v>
      </c>
      <c r="AP73">
        <v>0</v>
      </c>
    </row>
    <row r="74" spans="4:42" x14ac:dyDescent="0.45">
      <c r="D74">
        <v>2021</v>
      </c>
      <c r="E74">
        <v>10</v>
      </c>
      <c r="F74">
        <v>8000000</v>
      </c>
      <c r="G74">
        <v>575433.07999999996</v>
      </c>
      <c r="H74">
        <v>376429.92</v>
      </c>
      <c r="I74">
        <v>168262.95</v>
      </c>
      <c r="J74">
        <v>28495.47</v>
      </c>
      <c r="K74">
        <v>60</v>
      </c>
      <c r="L74">
        <v>4</v>
      </c>
      <c r="M74">
        <v>61</v>
      </c>
      <c r="N74">
        <v>0</v>
      </c>
      <c r="O74">
        <v>16</v>
      </c>
      <c r="P74">
        <v>16837.93</v>
      </c>
      <c r="Q74">
        <v>107.98</v>
      </c>
      <c r="R74">
        <v>102.16</v>
      </c>
      <c r="S74">
        <v>0</v>
      </c>
      <c r="T74">
        <v>0</v>
      </c>
      <c r="U74">
        <v>0</v>
      </c>
      <c r="V74">
        <v>0</v>
      </c>
      <c r="W74">
        <v>0</v>
      </c>
      <c r="X74">
        <v>1</v>
      </c>
      <c r="Y74">
        <v>0</v>
      </c>
      <c r="Z74">
        <v>0</v>
      </c>
      <c r="AA74">
        <v>0</v>
      </c>
      <c r="AB74">
        <v>0</v>
      </c>
      <c r="AC74">
        <v>0</v>
      </c>
      <c r="AD74">
        <v>0</v>
      </c>
      <c r="AE74">
        <v>0</v>
      </c>
      <c r="AF74">
        <v>0</v>
      </c>
      <c r="AG74">
        <v>0</v>
      </c>
      <c r="AH74">
        <v>0</v>
      </c>
      <c r="AI74">
        <v>0</v>
      </c>
      <c r="AJ74">
        <v>0</v>
      </c>
      <c r="AK74">
        <v>1</v>
      </c>
      <c r="AL74">
        <v>0</v>
      </c>
      <c r="AM74">
        <v>0</v>
      </c>
      <c r="AN74">
        <v>0</v>
      </c>
      <c r="AO74">
        <v>0</v>
      </c>
      <c r="AP74">
        <v>0</v>
      </c>
    </row>
    <row r="75" spans="4:42" x14ac:dyDescent="0.45">
      <c r="D75">
        <v>2021</v>
      </c>
      <c r="E75">
        <v>10</v>
      </c>
      <c r="F75">
        <v>19000000</v>
      </c>
      <c r="G75">
        <v>1409951.8</v>
      </c>
      <c r="H75">
        <v>717732.11</v>
      </c>
      <c r="I75">
        <v>705271.47</v>
      </c>
      <c r="J75">
        <v>86215.54</v>
      </c>
      <c r="K75">
        <v>94</v>
      </c>
      <c r="L75">
        <v>5</v>
      </c>
      <c r="M75">
        <v>393</v>
      </c>
      <c r="N75">
        <v>7</v>
      </c>
      <c r="O75">
        <v>27</v>
      </c>
      <c r="P75">
        <v>307744.21999999997</v>
      </c>
      <c r="Q75">
        <v>107.46</v>
      </c>
      <c r="R75">
        <v>102.06</v>
      </c>
      <c r="S75">
        <v>0</v>
      </c>
      <c r="T75">
        <v>0</v>
      </c>
      <c r="U75">
        <v>0</v>
      </c>
      <c r="V75">
        <v>0</v>
      </c>
      <c r="W75">
        <v>0</v>
      </c>
      <c r="X75">
        <v>1</v>
      </c>
      <c r="Y75">
        <v>0</v>
      </c>
      <c r="Z75">
        <v>0</v>
      </c>
      <c r="AA75">
        <v>0</v>
      </c>
      <c r="AB75">
        <v>0</v>
      </c>
      <c r="AC75">
        <v>0</v>
      </c>
      <c r="AD75">
        <v>0</v>
      </c>
      <c r="AE75">
        <v>0</v>
      </c>
      <c r="AF75">
        <v>0</v>
      </c>
      <c r="AG75">
        <v>0</v>
      </c>
      <c r="AH75">
        <v>0</v>
      </c>
      <c r="AI75">
        <v>0</v>
      </c>
      <c r="AJ75">
        <v>0</v>
      </c>
      <c r="AK75">
        <v>0</v>
      </c>
      <c r="AL75">
        <v>0</v>
      </c>
      <c r="AM75">
        <v>0</v>
      </c>
      <c r="AN75">
        <v>0</v>
      </c>
      <c r="AO75">
        <v>0</v>
      </c>
      <c r="AP75">
        <v>1</v>
      </c>
    </row>
    <row r="76" spans="4:42" x14ac:dyDescent="0.45">
      <c r="D76">
        <v>2021</v>
      </c>
      <c r="E76">
        <v>10</v>
      </c>
      <c r="F76">
        <v>6200000</v>
      </c>
      <c r="G76">
        <v>545000.27</v>
      </c>
      <c r="H76">
        <v>247549.32</v>
      </c>
      <c r="I76">
        <v>185520.36</v>
      </c>
      <c r="J76">
        <v>117407.49</v>
      </c>
      <c r="K76">
        <v>30</v>
      </c>
      <c r="L76">
        <v>0</v>
      </c>
      <c r="M76">
        <v>20</v>
      </c>
      <c r="N76">
        <v>3</v>
      </c>
      <c r="O76">
        <v>10</v>
      </c>
      <c r="P76">
        <v>33126.76</v>
      </c>
      <c r="Q76">
        <v>107.67</v>
      </c>
      <c r="R76">
        <v>101.32</v>
      </c>
      <c r="S76">
        <v>0</v>
      </c>
      <c r="T76">
        <v>0</v>
      </c>
      <c r="U76">
        <v>0</v>
      </c>
      <c r="V76">
        <v>0</v>
      </c>
      <c r="W76">
        <v>0</v>
      </c>
      <c r="X76">
        <v>1</v>
      </c>
      <c r="Y76">
        <v>0</v>
      </c>
      <c r="Z76">
        <v>0</v>
      </c>
      <c r="AA76">
        <v>0</v>
      </c>
      <c r="AB76">
        <v>0</v>
      </c>
      <c r="AC76">
        <v>0</v>
      </c>
      <c r="AD76">
        <v>0</v>
      </c>
      <c r="AE76">
        <v>0</v>
      </c>
      <c r="AF76">
        <v>0</v>
      </c>
      <c r="AG76">
        <v>0</v>
      </c>
      <c r="AH76">
        <v>1</v>
      </c>
      <c r="AI76">
        <v>0</v>
      </c>
      <c r="AJ76">
        <v>0</v>
      </c>
      <c r="AK76">
        <v>0</v>
      </c>
      <c r="AL76">
        <v>0</v>
      </c>
      <c r="AM76">
        <v>0</v>
      </c>
      <c r="AN76">
        <v>0</v>
      </c>
      <c r="AO76">
        <v>0</v>
      </c>
      <c r="AP76">
        <v>0</v>
      </c>
    </row>
    <row r="77" spans="4:42" x14ac:dyDescent="0.45">
      <c r="D77">
        <v>2021</v>
      </c>
      <c r="E77">
        <v>10</v>
      </c>
      <c r="F77">
        <v>13500000</v>
      </c>
      <c r="G77">
        <v>1030558.87</v>
      </c>
      <c r="H77">
        <v>502489.44</v>
      </c>
      <c r="I77">
        <v>465295.59</v>
      </c>
      <c r="J77">
        <v>70195.990000000005</v>
      </c>
      <c r="K77">
        <v>74</v>
      </c>
      <c r="L77">
        <v>7</v>
      </c>
      <c r="M77">
        <v>23</v>
      </c>
      <c r="N77">
        <v>3</v>
      </c>
      <c r="O77">
        <v>15</v>
      </c>
      <c r="P77">
        <v>87846.74</v>
      </c>
      <c r="Q77">
        <v>104.6</v>
      </c>
      <c r="R77">
        <v>102.1</v>
      </c>
      <c r="S77">
        <v>0</v>
      </c>
      <c r="T77">
        <v>0</v>
      </c>
      <c r="U77">
        <v>0</v>
      </c>
      <c r="V77">
        <v>0</v>
      </c>
      <c r="W77">
        <v>0</v>
      </c>
      <c r="X77">
        <v>1</v>
      </c>
      <c r="Y77">
        <v>0</v>
      </c>
      <c r="Z77">
        <v>0</v>
      </c>
      <c r="AA77">
        <v>0</v>
      </c>
      <c r="AB77">
        <v>0</v>
      </c>
      <c r="AC77">
        <v>0</v>
      </c>
      <c r="AD77">
        <v>0</v>
      </c>
      <c r="AE77">
        <v>0</v>
      </c>
      <c r="AF77">
        <v>0</v>
      </c>
      <c r="AG77">
        <v>0</v>
      </c>
      <c r="AH77">
        <v>0</v>
      </c>
      <c r="AI77">
        <v>0</v>
      </c>
      <c r="AJ77">
        <v>0</v>
      </c>
      <c r="AK77">
        <v>0</v>
      </c>
      <c r="AL77">
        <v>0</v>
      </c>
      <c r="AM77">
        <v>0</v>
      </c>
      <c r="AN77">
        <v>1</v>
      </c>
      <c r="AO77">
        <v>0</v>
      </c>
      <c r="AP77">
        <v>0</v>
      </c>
    </row>
    <row r="78" spans="4:42" x14ac:dyDescent="0.45">
      <c r="D78">
        <v>2021</v>
      </c>
      <c r="E78">
        <v>10</v>
      </c>
      <c r="F78">
        <v>22000000</v>
      </c>
      <c r="G78">
        <v>1885283.64</v>
      </c>
      <c r="H78">
        <v>1475419.83</v>
      </c>
      <c r="I78">
        <v>357687.68</v>
      </c>
      <c r="J78">
        <v>17229.11</v>
      </c>
      <c r="K78">
        <v>172</v>
      </c>
      <c r="L78">
        <v>11</v>
      </c>
      <c r="M78">
        <v>708</v>
      </c>
      <c r="N78">
        <v>8</v>
      </c>
      <c r="O78">
        <v>32</v>
      </c>
      <c r="P78">
        <v>515533.94</v>
      </c>
      <c r="Q78">
        <v>109.76</v>
      </c>
      <c r="R78">
        <v>100.95</v>
      </c>
      <c r="S78">
        <v>0</v>
      </c>
      <c r="T78">
        <v>0</v>
      </c>
      <c r="U78">
        <v>0</v>
      </c>
      <c r="V78">
        <v>0</v>
      </c>
      <c r="W78">
        <v>0</v>
      </c>
      <c r="X78">
        <v>1</v>
      </c>
      <c r="Y78">
        <v>0</v>
      </c>
      <c r="Z78">
        <v>0</v>
      </c>
      <c r="AA78">
        <v>0</v>
      </c>
      <c r="AB78">
        <v>0</v>
      </c>
      <c r="AC78">
        <v>0</v>
      </c>
      <c r="AD78">
        <v>0</v>
      </c>
      <c r="AE78">
        <v>0</v>
      </c>
      <c r="AF78">
        <v>1</v>
      </c>
      <c r="AG78">
        <v>0</v>
      </c>
      <c r="AH78">
        <v>0</v>
      </c>
      <c r="AI78">
        <v>0</v>
      </c>
      <c r="AJ78">
        <v>0</v>
      </c>
      <c r="AK78">
        <v>0</v>
      </c>
      <c r="AL78">
        <v>0</v>
      </c>
      <c r="AM78">
        <v>0</v>
      </c>
      <c r="AN78">
        <v>0</v>
      </c>
      <c r="AO78">
        <v>0</v>
      </c>
      <c r="AP78">
        <v>0</v>
      </c>
    </row>
    <row r="79" spans="4:42" x14ac:dyDescent="0.45">
      <c r="D79">
        <v>2021</v>
      </c>
      <c r="E79">
        <v>10</v>
      </c>
      <c r="F79">
        <v>4200000</v>
      </c>
      <c r="G79">
        <v>324422.61</v>
      </c>
      <c r="H79">
        <v>270552.5</v>
      </c>
      <c r="I79">
        <v>59361.52</v>
      </c>
      <c r="J79">
        <v>5768.38</v>
      </c>
      <c r="K79">
        <v>31</v>
      </c>
      <c r="L79">
        <v>8</v>
      </c>
      <c r="M79">
        <v>32</v>
      </c>
      <c r="N79">
        <v>1</v>
      </c>
      <c r="O79">
        <v>12</v>
      </c>
      <c r="P79">
        <v>15890.77</v>
      </c>
      <c r="Q79">
        <v>109.16</v>
      </c>
      <c r="R79">
        <v>100.45</v>
      </c>
      <c r="S79">
        <v>0</v>
      </c>
      <c r="T79">
        <v>0</v>
      </c>
      <c r="U79">
        <v>0</v>
      </c>
      <c r="V79">
        <v>0</v>
      </c>
      <c r="W79">
        <v>0</v>
      </c>
      <c r="X79">
        <v>1</v>
      </c>
      <c r="Y79">
        <v>0</v>
      </c>
      <c r="Z79">
        <v>0</v>
      </c>
      <c r="AA79">
        <v>0</v>
      </c>
      <c r="AB79">
        <v>0</v>
      </c>
      <c r="AC79">
        <v>0</v>
      </c>
      <c r="AD79">
        <v>0</v>
      </c>
      <c r="AE79">
        <v>0</v>
      </c>
      <c r="AF79">
        <v>0</v>
      </c>
      <c r="AG79">
        <v>0</v>
      </c>
      <c r="AH79">
        <v>0</v>
      </c>
      <c r="AI79">
        <v>0</v>
      </c>
      <c r="AJ79">
        <v>0</v>
      </c>
      <c r="AK79">
        <v>0</v>
      </c>
      <c r="AL79">
        <v>1</v>
      </c>
      <c r="AM79">
        <v>0</v>
      </c>
      <c r="AN79">
        <v>0</v>
      </c>
      <c r="AO79">
        <v>0</v>
      </c>
      <c r="AP79">
        <v>0</v>
      </c>
    </row>
    <row r="80" spans="4:42" x14ac:dyDescent="0.45">
      <c r="D80">
        <v>2021</v>
      </c>
      <c r="E80">
        <v>11</v>
      </c>
      <c r="F80">
        <v>19000000</v>
      </c>
      <c r="G80">
        <v>1573095.19</v>
      </c>
      <c r="H80">
        <v>729173.25</v>
      </c>
      <c r="I80">
        <v>748475.74</v>
      </c>
      <c r="J80">
        <v>63724.42</v>
      </c>
      <c r="K80">
        <v>98</v>
      </c>
      <c r="L80">
        <v>7</v>
      </c>
      <c r="M80">
        <v>391</v>
      </c>
      <c r="N80">
        <v>8</v>
      </c>
      <c r="O80">
        <v>31</v>
      </c>
      <c r="P80">
        <v>366425.85</v>
      </c>
      <c r="Q80">
        <v>106.79</v>
      </c>
      <c r="R80">
        <v>102.17</v>
      </c>
      <c r="S80">
        <v>0</v>
      </c>
      <c r="T80">
        <v>1</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1</v>
      </c>
    </row>
    <row r="81" spans="4:42" x14ac:dyDescent="0.45">
      <c r="D81">
        <v>2021</v>
      </c>
      <c r="E81">
        <v>11</v>
      </c>
      <c r="F81">
        <v>3500000</v>
      </c>
      <c r="G81">
        <v>290360.12</v>
      </c>
      <c r="H81">
        <v>249765.7</v>
      </c>
      <c r="I81">
        <v>41263.519999999997</v>
      </c>
      <c r="J81">
        <v>5798.38</v>
      </c>
      <c r="K81">
        <v>27</v>
      </c>
      <c r="L81">
        <v>4</v>
      </c>
      <c r="M81">
        <v>33</v>
      </c>
      <c r="N81">
        <v>2</v>
      </c>
      <c r="O81">
        <v>8</v>
      </c>
      <c r="P81">
        <v>16667.68</v>
      </c>
      <c r="Q81">
        <v>106.33</v>
      </c>
      <c r="R81">
        <v>101.53</v>
      </c>
      <c r="S81">
        <v>0</v>
      </c>
      <c r="T81">
        <v>1</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row>
    <row r="82" spans="4:42" x14ac:dyDescent="0.45">
      <c r="D82">
        <v>2021</v>
      </c>
      <c r="E82">
        <v>11</v>
      </c>
      <c r="F82">
        <v>22000000</v>
      </c>
      <c r="G82">
        <v>1998037.71</v>
      </c>
      <c r="H82">
        <v>1539957.85</v>
      </c>
      <c r="I82">
        <v>377677.46</v>
      </c>
      <c r="J82">
        <v>18693.060000000001</v>
      </c>
      <c r="K82">
        <v>180</v>
      </c>
      <c r="L82">
        <v>14</v>
      </c>
      <c r="M82">
        <v>715</v>
      </c>
      <c r="N82">
        <v>6</v>
      </c>
      <c r="O82">
        <v>30</v>
      </c>
      <c r="P82">
        <v>295210.43</v>
      </c>
      <c r="Q82">
        <v>103.77</v>
      </c>
      <c r="R82">
        <v>102.01</v>
      </c>
      <c r="S82">
        <v>0</v>
      </c>
      <c r="T82">
        <v>1</v>
      </c>
      <c r="U82">
        <v>0</v>
      </c>
      <c r="V82">
        <v>0</v>
      </c>
      <c r="W82">
        <v>0</v>
      </c>
      <c r="X82">
        <v>0</v>
      </c>
      <c r="Y82">
        <v>0</v>
      </c>
      <c r="Z82">
        <v>0</v>
      </c>
      <c r="AA82">
        <v>0</v>
      </c>
      <c r="AB82">
        <v>0</v>
      </c>
      <c r="AC82">
        <v>0</v>
      </c>
      <c r="AD82">
        <v>0</v>
      </c>
      <c r="AE82">
        <v>0</v>
      </c>
      <c r="AF82">
        <v>1</v>
      </c>
      <c r="AG82">
        <v>0</v>
      </c>
      <c r="AH82">
        <v>0</v>
      </c>
      <c r="AI82">
        <v>0</v>
      </c>
      <c r="AJ82">
        <v>0</v>
      </c>
      <c r="AK82">
        <v>0</v>
      </c>
      <c r="AL82">
        <v>0</v>
      </c>
      <c r="AM82">
        <v>0</v>
      </c>
      <c r="AN82">
        <v>0</v>
      </c>
      <c r="AO82">
        <v>0</v>
      </c>
      <c r="AP82">
        <v>0</v>
      </c>
    </row>
    <row r="83" spans="4:42" x14ac:dyDescent="0.45">
      <c r="D83">
        <v>2021</v>
      </c>
      <c r="E83">
        <v>11</v>
      </c>
      <c r="F83">
        <v>13500000</v>
      </c>
      <c r="G83">
        <v>1379173.78</v>
      </c>
      <c r="H83">
        <v>577092.68999999994</v>
      </c>
      <c r="I83">
        <v>462774.35</v>
      </c>
      <c r="J83">
        <v>389409.95</v>
      </c>
      <c r="K83">
        <v>80</v>
      </c>
      <c r="L83">
        <v>8</v>
      </c>
      <c r="M83">
        <v>115</v>
      </c>
      <c r="N83">
        <v>2</v>
      </c>
      <c r="O83">
        <v>15</v>
      </c>
      <c r="P83">
        <v>77353.320000000007</v>
      </c>
      <c r="Q83">
        <v>107.09</v>
      </c>
      <c r="R83">
        <v>101.78</v>
      </c>
      <c r="S83">
        <v>0</v>
      </c>
      <c r="T83">
        <v>1</v>
      </c>
      <c r="U83">
        <v>0</v>
      </c>
      <c r="V83">
        <v>0</v>
      </c>
      <c r="W83">
        <v>0</v>
      </c>
      <c r="X83">
        <v>0</v>
      </c>
      <c r="Y83">
        <v>0</v>
      </c>
      <c r="Z83">
        <v>0</v>
      </c>
      <c r="AA83">
        <v>0</v>
      </c>
      <c r="AB83">
        <v>0</v>
      </c>
      <c r="AC83">
        <v>0</v>
      </c>
      <c r="AD83">
        <v>0</v>
      </c>
      <c r="AE83">
        <v>0</v>
      </c>
      <c r="AF83">
        <v>0</v>
      </c>
      <c r="AG83">
        <v>0</v>
      </c>
      <c r="AH83">
        <v>0</v>
      </c>
      <c r="AI83">
        <v>0</v>
      </c>
      <c r="AJ83">
        <v>0</v>
      </c>
      <c r="AK83">
        <v>0</v>
      </c>
      <c r="AL83">
        <v>0</v>
      </c>
      <c r="AM83">
        <v>0</v>
      </c>
      <c r="AN83">
        <v>1</v>
      </c>
      <c r="AO83">
        <v>0</v>
      </c>
      <c r="AP83">
        <v>0</v>
      </c>
    </row>
    <row r="84" spans="4:42" x14ac:dyDescent="0.45">
      <c r="D84">
        <v>2021</v>
      </c>
      <c r="E84">
        <v>11</v>
      </c>
      <c r="F84">
        <v>25000000</v>
      </c>
      <c r="G84">
        <v>2190984.64</v>
      </c>
      <c r="H84">
        <v>1614914.5</v>
      </c>
      <c r="I84">
        <v>448148.52</v>
      </c>
      <c r="J84">
        <v>181909.43</v>
      </c>
      <c r="K84">
        <v>205</v>
      </c>
      <c r="L84">
        <v>17</v>
      </c>
      <c r="M84">
        <v>872</v>
      </c>
      <c r="N84">
        <v>10</v>
      </c>
      <c r="O84">
        <v>41</v>
      </c>
      <c r="P84">
        <v>478570.45</v>
      </c>
      <c r="Q84">
        <v>106.86</v>
      </c>
      <c r="R84">
        <v>102.38</v>
      </c>
      <c r="S84">
        <v>0</v>
      </c>
      <c r="T84">
        <v>1</v>
      </c>
      <c r="U84">
        <v>0</v>
      </c>
      <c r="V84">
        <v>0</v>
      </c>
      <c r="W84">
        <v>0</v>
      </c>
      <c r="X84">
        <v>0</v>
      </c>
      <c r="Y84">
        <v>0</v>
      </c>
      <c r="Z84">
        <v>0</v>
      </c>
      <c r="AA84">
        <v>0</v>
      </c>
      <c r="AB84">
        <v>0</v>
      </c>
      <c r="AC84">
        <v>0</v>
      </c>
      <c r="AD84">
        <v>0</v>
      </c>
      <c r="AE84">
        <v>0</v>
      </c>
      <c r="AF84">
        <v>0</v>
      </c>
      <c r="AG84">
        <v>0</v>
      </c>
      <c r="AH84">
        <v>0</v>
      </c>
      <c r="AI84">
        <v>0</v>
      </c>
      <c r="AJ84">
        <v>0</v>
      </c>
      <c r="AK84">
        <v>0</v>
      </c>
      <c r="AL84">
        <v>0</v>
      </c>
      <c r="AM84">
        <v>1</v>
      </c>
      <c r="AN84">
        <v>0</v>
      </c>
      <c r="AO84">
        <v>0</v>
      </c>
      <c r="AP84">
        <v>0</v>
      </c>
    </row>
    <row r="85" spans="4:42" x14ac:dyDescent="0.45">
      <c r="D85">
        <v>2021</v>
      </c>
      <c r="E85">
        <v>11</v>
      </c>
      <c r="F85">
        <v>4800000</v>
      </c>
      <c r="G85">
        <v>396322.24</v>
      </c>
      <c r="H85">
        <v>323381.67</v>
      </c>
      <c r="I85">
        <v>60446.22</v>
      </c>
      <c r="J85">
        <v>9775.4</v>
      </c>
      <c r="K85">
        <v>36</v>
      </c>
      <c r="L85">
        <v>6</v>
      </c>
      <c r="M85">
        <v>32</v>
      </c>
      <c r="N85">
        <v>0</v>
      </c>
      <c r="O85">
        <v>13</v>
      </c>
      <c r="P85">
        <v>9596.1200000000008</v>
      </c>
      <c r="Q85">
        <v>105.66</v>
      </c>
      <c r="R85">
        <v>102.04</v>
      </c>
      <c r="S85">
        <v>0</v>
      </c>
      <c r="T85">
        <v>1</v>
      </c>
      <c r="U85">
        <v>0</v>
      </c>
      <c r="V85">
        <v>0</v>
      </c>
      <c r="W85">
        <v>0</v>
      </c>
      <c r="X85">
        <v>0</v>
      </c>
      <c r="Y85">
        <v>0</v>
      </c>
      <c r="Z85">
        <v>0</v>
      </c>
      <c r="AA85">
        <v>0</v>
      </c>
      <c r="AB85">
        <v>0</v>
      </c>
      <c r="AC85">
        <v>0</v>
      </c>
      <c r="AD85">
        <v>1</v>
      </c>
      <c r="AE85">
        <v>0</v>
      </c>
      <c r="AF85">
        <v>0</v>
      </c>
      <c r="AG85">
        <v>0</v>
      </c>
      <c r="AH85">
        <v>0</v>
      </c>
      <c r="AI85">
        <v>0</v>
      </c>
      <c r="AJ85">
        <v>0</v>
      </c>
      <c r="AK85">
        <v>0</v>
      </c>
      <c r="AL85">
        <v>0</v>
      </c>
      <c r="AM85">
        <v>0</v>
      </c>
      <c r="AN85">
        <v>0</v>
      </c>
      <c r="AO85">
        <v>0</v>
      </c>
      <c r="AP85">
        <v>0</v>
      </c>
    </row>
    <row r="86" spans="4:42" x14ac:dyDescent="0.45">
      <c r="D86">
        <v>2021</v>
      </c>
      <c r="E86">
        <v>11</v>
      </c>
      <c r="F86">
        <v>6200000</v>
      </c>
      <c r="G86">
        <v>503497.41</v>
      </c>
      <c r="H86">
        <v>254558.66</v>
      </c>
      <c r="I86">
        <v>216291.18</v>
      </c>
      <c r="J86">
        <v>32933.839999999997</v>
      </c>
      <c r="K86">
        <v>30</v>
      </c>
      <c r="L86">
        <v>4</v>
      </c>
      <c r="M86">
        <v>52</v>
      </c>
      <c r="N86">
        <v>0</v>
      </c>
      <c r="O86">
        <v>11</v>
      </c>
      <c r="P86">
        <v>10524.97</v>
      </c>
      <c r="Q86">
        <v>105.99</v>
      </c>
      <c r="R86">
        <v>102.3</v>
      </c>
      <c r="S86">
        <v>0</v>
      </c>
      <c r="T86">
        <v>1</v>
      </c>
      <c r="U86">
        <v>0</v>
      </c>
      <c r="V86">
        <v>0</v>
      </c>
      <c r="W86">
        <v>0</v>
      </c>
      <c r="X86">
        <v>0</v>
      </c>
      <c r="Y86">
        <v>0</v>
      </c>
      <c r="Z86">
        <v>0</v>
      </c>
      <c r="AA86">
        <v>0</v>
      </c>
      <c r="AB86">
        <v>0</v>
      </c>
      <c r="AC86">
        <v>0</v>
      </c>
      <c r="AD86">
        <v>0</v>
      </c>
      <c r="AE86">
        <v>0</v>
      </c>
      <c r="AF86">
        <v>0</v>
      </c>
      <c r="AG86">
        <v>0</v>
      </c>
      <c r="AH86">
        <v>1</v>
      </c>
      <c r="AI86">
        <v>0</v>
      </c>
      <c r="AJ86">
        <v>0</v>
      </c>
      <c r="AK86">
        <v>0</v>
      </c>
      <c r="AL86">
        <v>0</v>
      </c>
      <c r="AM86">
        <v>0</v>
      </c>
      <c r="AN86">
        <v>0</v>
      </c>
      <c r="AO86">
        <v>0</v>
      </c>
      <c r="AP86">
        <v>0</v>
      </c>
    </row>
    <row r="87" spans="4:42" x14ac:dyDescent="0.45">
      <c r="D87">
        <v>2021</v>
      </c>
      <c r="E87">
        <v>11</v>
      </c>
      <c r="F87">
        <v>4200000</v>
      </c>
      <c r="G87">
        <v>350967.16</v>
      </c>
      <c r="H87">
        <v>295549.39</v>
      </c>
      <c r="I87">
        <v>57769.440000000002</v>
      </c>
      <c r="J87">
        <v>4936.03</v>
      </c>
      <c r="K87">
        <v>32</v>
      </c>
      <c r="L87">
        <v>2</v>
      </c>
      <c r="M87">
        <v>15</v>
      </c>
      <c r="N87">
        <v>1</v>
      </c>
      <c r="O87">
        <v>7</v>
      </c>
      <c r="P87">
        <v>15626.09</v>
      </c>
      <c r="Q87">
        <v>106.97</v>
      </c>
      <c r="R87">
        <v>103.34</v>
      </c>
      <c r="S87">
        <v>0</v>
      </c>
      <c r="T87">
        <v>1</v>
      </c>
      <c r="U87">
        <v>0</v>
      </c>
      <c r="V87">
        <v>0</v>
      </c>
      <c r="W87">
        <v>0</v>
      </c>
      <c r="X87">
        <v>0</v>
      </c>
      <c r="Y87">
        <v>0</v>
      </c>
      <c r="Z87">
        <v>0</v>
      </c>
      <c r="AA87">
        <v>0</v>
      </c>
      <c r="AB87">
        <v>0</v>
      </c>
      <c r="AC87">
        <v>0</v>
      </c>
      <c r="AD87">
        <v>0</v>
      </c>
      <c r="AE87">
        <v>0</v>
      </c>
      <c r="AF87">
        <v>0</v>
      </c>
      <c r="AG87">
        <v>0</v>
      </c>
      <c r="AH87">
        <v>0</v>
      </c>
      <c r="AI87">
        <v>0</v>
      </c>
      <c r="AJ87">
        <v>0</v>
      </c>
      <c r="AK87">
        <v>0</v>
      </c>
      <c r="AL87">
        <v>1</v>
      </c>
      <c r="AM87">
        <v>0</v>
      </c>
      <c r="AN87">
        <v>0</v>
      </c>
      <c r="AO87">
        <v>0</v>
      </c>
      <c r="AP87">
        <v>0</v>
      </c>
    </row>
    <row r="88" spans="4:42" x14ac:dyDescent="0.45">
      <c r="D88">
        <v>2021</v>
      </c>
      <c r="E88">
        <v>11</v>
      </c>
      <c r="F88">
        <v>8000000</v>
      </c>
      <c r="G88">
        <v>626687.86</v>
      </c>
      <c r="H88">
        <v>410855.73</v>
      </c>
      <c r="I88">
        <v>221526.92</v>
      </c>
      <c r="J88">
        <v>30945.17</v>
      </c>
      <c r="K88">
        <v>62</v>
      </c>
      <c r="L88">
        <v>7</v>
      </c>
      <c r="M88">
        <v>75</v>
      </c>
      <c r="N88">
        <v>0</v>
      </c>
      <c r="O88">
        <v>7</v>
      </c>
      <c r="P88">
        <v>7998.66</v>
      </c>
      <c r="Q88">
        <v>104.78</v>
      </c>
      <c r="R88">
        <v>102.49</v>
      </c>
      <c r="S88">
        <v>0</v>
      </c>
      <c r="T88">
        <v>1</v>
      </c>
      <c r="U88">
        <v>0</v>
      </c>
      <c r="V88">
        <v>0</v>
      </c>
      <c r="W88">
        <v>0</v>
      </c>
      <c r="X88">
        <v>0</v>
      </c>
      <c r="Y88">
        <v>0</v>
      </c>
      <c r="Z88">
        <v>0</v>
      </c>
      <c r="AA88">
        <v>0</v>
      </c>
      <c r="AB88">
        <v>0</v>
      </c>
      <c r="AC88">
        <v>0</v>
      </c>
      <c r="AD88">
        <v>0</v>
      </c>
      <c r="AE88">
        <v>0</v>
      </c>
      <c r="AF88">
        <v>0</v>
      </c>
      <c r="AG88">
        <v>0</v>
      </c>
      <c r="AH88">
        <v>0</v>
      </c>
      <c r="AI88">
        <v>0</v>
      </c>
      <c r="AJ88">
        <v>1</v>
      </c>
      <c r="AK88">
        <v>0</v>
      </c>
      <c r="AL88">
        <v>0</v>
      </c>
      <c r="AM88">
        <v>0</v>
      </c>
      <c r="AN88">
        <v>0</v>
      </c>
      <c r="AO88">
        <v>0</v>
      </c>
      <c r="AP88">
        <v>0</v>
      </c>
    </row>
    <row r="89" spans="4:42" x14ac:dyDescent="0.45">
      <c r="D89">
        <v>2021</v>
      </c>
      <c r="E89">
        <v>11</v>
      </c>
      <c r="F89">
        <v>7300000</v>
      </c>
      <c r="G89">
        <v>557727.26</v>
      </c>
      <c r="H89">
        <v>320224.8</v>
      </c>
      <c r="I89">
        <v>249660.14</v>
      </c>
      <c r="J89">
        <v>29605.84</v>
      </c>
      <c r="K89">
        <v>43</v>
      </c>
      <c r="L89">
        <v>6</v>
      </c>
      <c r="M89">
        <v>31</v>
      </c>
      <c r="N89">
        <v>3</v>
      </c>
      <c r="O89">
        <v>17</v>
      </c>
      <c r="P89">
        <v>60161.53</v>
      </c>
      <c r="Q89">
        <v>108.85</v>
      </c>
      <c r="R89">
        <v>102.39</v>
      </c>
      <c r="S89">
        <v>0</v>
      </c>
      <c r="T89">
        <v>1</v>
      </c>
      <c r="U89">
        <v>0</v>
      </c>
      <c r="V89">
        <v>0</v>
      </c>
      <c r="W89">
        <v>0</v>
      </c>
      <c r="X89">
        <v>0</v>
      </c>
      <c r="Y89">
        <v>0</v>
      </c>
      <c r="Z89">
        <v>0</v>
      </c>
      <c r="AA89">
        <v>0</v>
      </c>
      <c r="AB89">
        <v>0</v>
      </c>
      <c r="AC89">
        <v>0</v>
      </c>
      <c r="AD89">
        <v>0</v>
      </c>
      <c r="AE89">
        <v>0</v>
      </c>
      <c r="AF89">
        <v>0</v>
      </c>
      <c r="AG89">
        <v>1</v>
      </c>
      <c r="AH89">
        <v>0</v>
      </c>
      <c r="AI89">
        <v>0</v>
      </c>
      <c r="AJ89">
        <v>0</v>
      </c>
      <c r="AK89">
        <v>0</v>
      </c>
      <c r="AL89">
        <v>0</v>
      </c>
      <c r="AM89">
        <v>0</v>
      </c>
      <c r="AN89">
        <v>0</v>
      </c>
      <c r="AO89">
        <v>0</v>
      </c>
      <c r="AP89">
        <v>0</v>
      </c>
    </row>
    <row r="90" spans="4:42" x14ac:dyDescent="0.45">
      <c r="D90">
        <v>2021</v>
      </c>
      <c r="E90">
        <v>12</v>
      </c>
      <c r="F90">
        <v>25000000</v>
      </c>
      <c r="G90">
        <v>2221515.63</v>
      </c>
      <c r="H90">
        <v>1698085.55</v>
      </c>
      <c r="I90">
        <v>545705.88</v>
      </c>
      <c r="J90">
        <v>79486.880000000005</v>
      </c>
      <c r="K90">
        <v>205</v>
      </c>
      <c r="L90">
        <v>16</v>
      </c>
      <c r="M90">
        <v>1045</v>
      </c>
      <c r="N90">
        <v>8</v>
      </c>
      <c r="O90">
        <v>30</v>
      </c>
      <c r="P90">
        <v>614723.78</v>
      </c>
      <c r="Q90">
        <v>111.98</v>
      </c>
      <c r="R90">
        <v>101.98</v>
      </c>
      <c r="S90">
        <v>0</v>
      </c>
      <c r="T90">
        <v>0</v>
      </c>
      <c r="U90">
        <v>0</v>
      </c>
      <c r="V90">
        <v>0</v>
      </c>
      <c r="W90">
        <v>0</v>
      </c>
      <c r="X90">
        <v>0</v>
      </c>
      <c r="Y90">
        <v>0</v>
      </c>
      <c r="Z90">
        <v>0</v>
      </c>
      <c r="AA90">
        <v>0</v>
      </c>
      <c r="AB90">
        <v>0</v>
      </c>
      <c r="AC90">
        <v>1</v>
      </c>
      <c r="AD90">
        <v>0</v>
      </c>
      <c r="AE90">
        <v>0</v>
      </c>
      <c r="AF90">
        <v>0</v>
      </c>
      <c r="AG90">
        <v>0</v>
      </c>
      <c r="AH90">
        <v>0</v>
      </c>
      <c r="AI90">
        <v>0</v>
      </c>
      <c r="AJ90">
        <v>0</v>
      </c>
      <c r="AK90">
        <v>0</v>
      </c>
      <c r="AL90">
        <v>0</v>
      </c>
      <c r="AM90">
        <v>1</v>
      </c>
      <c r="AN90">
        <v>0</v>
      </c>
      <c r="AO90">
        <v>0</v>
      </c>
      <c r="AP90">
        <v>0</v>
      </c>
    </row>
    <row r="91" spans="4:42" x14ac:dyDescent="0.45">
      <c r="D91">
        <v>2021</v>
      </c>
      <c r="E91">
        <v>12</v>
      </c>
      <c r="F91">
        <v>13500000</v>
      </c>
      <c r="G91">
        <v>1065746.07</v>
      </c>
      <c r="H91">
        <v>549884.12</v>
      </c>
      <c r="I91">
        <v>464592.62</v>
      </c>
      <c r="J91">
        <v>54554.34</v>
      </c>
      <c r="K91">
        <v>79</v>
      </c>
      <c r="L91">
        <v>2</v>
      </c>
      <c r="M91">
        <v>104</v>
      </c>
      <c r="N91">
        <v>6</v>
      </c>
      <c r="O91">
        <v>26</v>
      </c>
      <c r="P91">
        <v>202457.61</v>
      </c>
      <c r="Q91">
        <v>106.27</v>
      </c>
      <c r="R91">
        <v>103.2</v>
      </c>
      <c r="S91">
        <v>0</v>
      </c>
      <c r="T91">
        <v>0</v>
      </c>
      <c r="U91">
        <v>0</v>
      </c>
      <c r="V91">
        <v>0</v>
      </c>
      <c r="W91">
        <v>0</v>
      </c>
      <c r="X91">
        <v>0</v>
      </c>
      <c r="Y91">
        <v>0</v>
      </c>
      <c r="Z91">
        <v>0</v>
      </c>
      <c r="AA91">
        <v>0</v>
      </c>
      <c r="AB91">
        <v>0</v>
      </c>
      <c r="AC91">
        <v>1</v>
      </c>
      <c r="AD91">
        <v>0</v>
      </c>
      <c r="AE91">
        <v>0</v>
      </c>
      <c r="AF91">
        <v>0</v>
      </c>
      <c r="AG91">
        <v>0</v>
      </c>
      <c r="AH91">
        <v>0</v>
      </c>
      <c r="AI91">
        <v>0</v>
      </c>
      <c r="AJ91">
        <v>0</v>
      </c>
      <c r="AK91">
        <v>0</v>
      </c>
      <c r="AL91">
        <v>0</v>
      </c>
      <c r="AM91">
        <v>0</v>
      </c>
      <c r="AN91">
        <v>1</v>
      </c>
      <c r="AO91">
        <v>0</v>
      </c>
      <c r="AP91">
        <v>0</v>
      </c>
    </row>
    <row r="92" spans="4:42" x14ac:dyDescent="0.45">
      <c r="D92">
        <v>2021</v>
      </c>
      <c r="E92">
        <v>12</v>
      </c>
      <c r="F92">
        <v>8000000</v>
      </c>
      <c r="G92">
        <v>629172.97</v>
      </c>
      <c r="H92">
        <v>417238.54</v>
      </c>
      <c r="I92">
        <v>176689.45</v>
      </c>
      <c r="J92">
        <v>27085.57</v>
      </c>
      <c r="K92">
        <v>64</v>
      </c>
      <c r="L92">
        <v>2</v>
      </c>
      <c r="M92">
        <v>25</v>
      </c>
      <c r="N92">
        <v>5</v>
      </c>
      <c r="O92">
        <v>22</v>
      </c>
      <c r="P92">
        <v>109926.42</v>
      </c>
      <c r="Q92">
        <v>105.25</v>
      </c>
      <c r="R92">
        <v>102.85</v>
      </c>
      <c r="S92">
        <v>0</v>
      </c>
      <c r="T92">
        <v>0</v>
      </c>
      <c r="U92">
        <v>0</v>
      </c>
      <c r="V92">
        <v>0</v>
      </c>
      <c r="W92">
        <v>0</v>
      </c>
      <c r="X92">
        <v>0</v>
      </c>
      <c r="Y92">
        <v>0</v>
      </c>
      <c r="Z92">
        <v>0</v>
      </c>
      <c r="AA92">
        <v>0</v>
      </c>
      <c r="AB92">
        <v>0</v>
      </c>
      <c r="AC92">
        <v>1</v>
      </c>
      <c r="AD92">
        <v>0</v>
      </c>
      <c r="AE92">
        <v>0</v>
      </c>
      <c r="AF92">
        <v>0</v>
      </c>
      <c r="AG92">
        <v>0</v>
      </c>
      <c r="AH92">
        <v>0</v>
      </c>
      <c r="AI92">
        <v>0</v>
      </c>
      <c r="AJ92">
        <v>1</v>
      </c>
      <c r="AK92">
        <v>0</v>
      </c>
      <c r="AL92">
        <v>0</v>
      </c>
      <c r="AM92">
        <v>0</v>
      </c>
      <c r="AN92">
        <v>0</v>
      </c>
      <c r="AO92">
        <v>0</v>
      </c>
      <c r="AP92">
        <v>0</v>
      </c>
    </row>
    <row r="93" spans="4:42" x14ac:dyDescent="0.45">
      <c r="D93">
        <v>2021</v>
      </c>
      <c r="E93">
        <v>12</v>
      </c>
      <c r="F93">
        <v>4800000</v>
      </c>
      <c r="G93">
        <v>423164.1</v>
      </c>
      <c r="H93">
        <v>342691.35</v>
      </c>
      <c r="I93">
        <v>63335.65</v>
      </c>
      <c r="J93">
        <v>8298.92</v>
      </c>
      <c r="K93">
        <v>37</v>
      </c>
      <c r="L93">
        <v>2</v>
      </c>
      <c r="M93">
        <v>85</v>
      </c>
      <c r="N93">
        <v>4</v>
      </c>
      <c r="O93">
        <v>20</v>
      </c>
      <c r="P93">
        <v>51037.96</v>
      </c>
      <c r="Q93">
        <v>108.8</v>
      </c>
      <c r="R93">
        <v>102.22</v>
      </c>
      <c r="S93">
        <v>0</v>
      </c>
      <c r="T93">
        <v>0</v>
      </c>
      <c r="U93">
        <v>0</v>
      </c>
      <c r="V93">
        <v>0</v>
      </c>
      <c r="W93">
        <v>0</v>
      </c>
      <c r="X93">
        <v>0</v>
      </c>
      <c r="Y93">
        <v>0</v>
      </c>
      <c r="Z93">
        <v>0</v>
      </c>
      <c r="AA93">
        <v>0</v>
      </c>
      <c r="AB93">
        <v>0</v>
      </c>
      <c r="AC93">
        <v>1</v>
      </c>
      <c r="AD93">
        <v>1</v>
      </c>
      <c r="AE93">
        <v>0</v>
      </c>
      <c r="AF93">
        <v>0</v>
      </c>
      <c r="AG93">
        <v>0</v>
      </c>
      <c r="AH93">
        <v>0</v>
      </c>
      <c r="AI93">
        <v>0</v>
      </c>
      <c r="AJ93">
        <v>0</v>
      </c>
      <c r="AK93">
        <v>0</v>
      </c>
      <c r="AL93">
        <v>0</v>
      </c>
      <c r="AM93">
        <v>0</v>
      </c>
      <c r="AN93">
        <v>0</v>
      </c>
      <c r="AO93">
        <v>0</v>
      </c>
      <c r="AP93">
        <v>0</v>
      </c>
    </row>
    <row r="94" spans="4:42" x14ac:dyDescent="0.45">
      <c r="D94">
        <v>2021</v>
      </c>
      <c r="E94">
        <v>12</v>
      </c>
      <c r="F94">
        <v>22000000</v>
      </c>
      <c r="G94">
        <v>1868544.06</v>
      </c>
      <c r="H94">
        <v>1427517.39</v>
      </c>
      <c r="I94">
        <v>376112.35</v>
      </c>
      <c r="J94">
        <v>55207.13</v>
      </c>
      <c r="K94">
        <v>173</v>
      </c>
      <c r="L94">
        <v>15</v>
      </c>
      <c r="M94">
        <v>590</v>
      </c>
      <c r="N94">
        <v>8</v>
      </c>
      <c r="O94">
        <v>34</v>
      </c>
      <c r="P94">
        <v>326924.09000000003</v>
      </c>
      <c r="Q94">
        <v>109.5</v>
      </c>
      <c r="R94">
        <v>102.64</v>
      </c>
      <c r="S94">
        <v>0</v>
      </c>
      <c r="T94">
        <v>0</v>
      </c>
      <c r="U94">
        <v>0</v>
      </c>
      <c r="V94">
        <v>0</v>
      </c>
      <c r="W94">
        <v>0</v>
      </c>
      <c r="X94">
        <v>0</v>
      </c>
      <c r="Y94">
        <v>0</v>
      </c>
      <c r="Z94">
        <v>0</v>
      </c>
      <c r="AA94">
        <v>0</v>
      </c>
      <c r="AB94">
        <v>0</v>
      </c>
      <c r="AC94">
        <v>1</v>
      </c>
      <c r="AD94">
        <v>0</v>
      </c>
      <c r="AE94">
        <v>0</v>
      </c>
      <c r="AF94">
        <v>1</v>
      </c>
      <c r="AG94">
        <v>0</v>
      </c>
      <c r="AH94">
        <v>0</v>
      </c>
      <c r="AI94">
        <v>0</v>
      </c>
      <c r="AJ94">
        <v>0</v>
      </c>
      <c r="AK94">
        <v>0</v>
      </c>
      <c r="AL94">
        <v>0</v>
      </c>
      <c r="AM94">
        <v>0</v>
      </c>
      <c r="AN94">
        <v>0</v>
      </c>
      <c r="AO94">
        <v>0</v>
      </c>
      <c r="AP94">
        <v>0</v>
      </c>
    </row>
    <row r="95" spans="4:42" x14ac:dyDescent="0.45">
      <c r="D95">
        <v>2021</v>
      </c>
      <c r="E95">
        <v>12</v>
      </c>
      <c r="F95">
        <v>19000000</v>
      </c>
      <c r="G95">
        <v>1468208.21</v>
      </c>
      <c r="H95">
        <v>700427.15</v>
      </c>
      <c r="I95">
        <v>725353.54</v>
      </c>
      <c r="J95">
        <v>108235.97</v>
      </c>
      <c r="K95">
        <v>95</v>
      </c>
      <c r="L95">
        <v>5</v>
      </c>
      <c r="M95">
        <v>421</v>
      </c>
      <c r="N95">
        <v>4</v>
      </c>
      <c r="O95">
        <v>26</v>
      </c>
      <c r="P95">
        <v>162083.43</v>
      </c>
      <c r="Q95">
        <v>108.56</v>
      </c>
      <c r="R95">
        <v>102.36</v>
      </c>
      <c r="S95">
        <v>0</v>
      </c>
      <c r="T95">
        <v>0</v>
      </c>
      <c r="U95">
        <v>0</v>
      </c>
      <c r="V95">
        <v>0</v>
      </c>
      <c r="W95">
        <v>0</v>
      </c>
      <c r="X95">
        <v>0</v>
      </c>
      <c r="Y95">
        <v>0</v>
      </c>
      <c r="Z95">
        <v>0</v>
      </c>
      <c r="AA95">
        <v>0</v>
      </c>
      <c r="AB95">
        <v>0</v>
      </c>
      <c r="AC95">
        <v>1</v>
      </c>
      <c r="AD95">
        <v>0</v>
      </c>
      <c r="AE95">
        <v>0</v>
      </c>
      <c r="AF95">
        <v>0</v>
      </c>
      <c r="AG95">
        <v>0</v>
      </c>
      <c r="AH95">
        <v>0</v>
      </c>
      <c r="AI95">
        <v>0</v>
      </c>
      <c r="AJ95">
        <v>0</v>
      </c>
      <c r="AK95">
        <v>0</v>
      </c>
      <c r="AL95">
        <v>0</v>
      </c>
      <c r="AM95">
        <v>0</v>
      </c>
      <c r="AN95">
        <v>0</v>
      </c>
      <c r="AO95">
        <v>0</v>
      </c>
      <c r="AP95">
        <v>1</v>
      </c>
    </row>
    <row r="96" spans="4:42" x14ac:dyDescent="0.45">
      <c r="D96">
        <v>2021</v>
      </c>
      <c r="E96">
        <v>12</v>
      </c>
      <c r="F96">
        <v>3500000</v>
      </c>
      <c r="G96">
        <v>304141.73</v>
      </c>
      <c r="H96">
        <v>255416.22</v>
      </c>
      <c r="I96">
        <v>42480.87</v>
      </c>
      <c r="J96">
        <v>1964.41</v>
      </c>
      <c r="K96">
        <v>27</v>
      </c>
      <c r="L96">
        <v>4</v>
      </c>
      <c r="M96">
        <v>35</v>
      </c>
      <c r="N96">
        <v>3</v>
      </c>
      <c r="O96">
        <v>11</v>
      </c>
      <c r="P96">
        <v>31711.61</v>
      </c>
      <c r="Q96">
        <v>111.7</v>
      </c>
      <c r="R96">
        <v>101.86</v>
      </c>
      <c r="S96">
        <v>0</v>
      </c>
      <c r="T96">
        <v>0</v>
      </c>
      <c r="U96">
        <v>0</v>
      </c>
      <c r="V96">
        <v>0</v>
      </c>
      <c r="W96">
        <v>0</v>
      </c>
      <c r="X96">
        <v>0</v>
      </c>
      <c r="Y96">
        <v>0</v>
      </c>
      <c r="Z96">
        <v>0</v>
      </c>
      <c r="AA96">
        <v>0</v>
      </c>
      <c r="AB96">
        <v>0</v>
      </c>
      <c r="AC96">
        <v>1</v>
      </c>
      <c r="AD96">
        <v>0</v>
      </c>
      <c r="AE96">
        <v>0</v>
      </c>
      <c r="AF96">
        <v>0</v>
      </c>
      <c r="AG96">
        <v>0</v>
      </c>
      <c r="AH96">
        <v>0</v>
      </c>
      <c r="AI96">
        <v>0</v>
      </c>
      <c r="AJ96">
        <v>0</v>
      </c>
      <c r="AK96">
        <v>0</v>
      </c>
      <c r="AL96">
        <v>0</v>
      </c>
      <c r="AM96">
        <v>0</v>
      </c>
      <c r="AN96">
        <v>0</v>
      </c>
      <c r="AO96">
        <v>0</v>
      </c>
      <c r="AP96">
        <v>0</v>
      </c>
    </row>
    <row r="97" spans="4:42" x14ac:dyDescent="0.45">
      <c r="D97">
        <v>2021</v>
      </c>
      <c r="E97">
        <v>12</v>
      </c>
      <c r="F97">
        <v>6200000</v>
      </c>
      <c r="G97">
        <v>462939.16</v>
      </c>
      <c r="H97">
        <v>249393.34</v>
      </c>
      <c r="I97">
        <v>208449.55</v>
      </c>
      <c r="J97">
        <v>14829.34</v>
      </c>
      <c r="K97">
        <v>30</v>
      </c>
      <c r="L97">
        <v>5</v>
      </c>
      <c r="M97">
        <v>67</v>
      </c>
      <c r="N97">
        <v>5</v>
      </c>
      <c r="O97">
        <v>22</v>
      </c>
      <c r="P97">
        <v>64015.63</v>
      </c>
      <c r="Q97">
        <v>110.01</v>
      </c>
      <c r="R97">
        <v>102.43</v>
      </c>
      <c r="S97">
        <v>0</v>
      </c>
      <c r="T97">
        <v>0</v>
      </c>
      <c r="U97">
        <v>0</v>
      </c>
      <c r="V97">
        <v>0</v>
      </c>
      <c r="W97">
        <v>0</v>
      </c>
      <c r="X97">
        <v>0</v>
      </c>
      <c r="Y97">
        <v>0</v>
      </c>
      <c r="Z97">
        <v>0</v>
      </c>
      <c r="AA97">
        <v>0</v>
      </c>
      <c r="AB97">
        <v>0</v>
      </c>
      <c r="AC97">
        <v>1</v>
      </c>
      <c r="AD97">
        <v>0</v>
      </c>
      <c r="AE97">
        <v>0</v>
      </c>
      <c r="AF97">
        <v>0</v>
      </c>
      <c r="AG97">
        <v>0</v>
      </c>
      <c r="AH97">
        <v>0</v>
      </c>
      <c r="AI97">
        <v>1</v>
      </c>
      <c r="AJ97">
        <v>0</v>
      </c>
      <c r="AK97">
        <v>0</v>
      </c>
      <c r="AL97">
        <v>0</v>
      </c>
      <c r="AM97">
        <v>0</v>
      </c>
      <c r="AN97">
        <v>0</v>
      </c>
      <c r="AO97">
        <v>0</v>
      </c>
      <c r="AP97">
        <v>0</v>
      </c>
    </row>
    <row r="98" spans="4:42" x14ac:dyDescent="0.45">
      <c r="D98">
        <v>2021</v>
      </c>
      <c r="E98">
        <v>12</v>
      </c>
      <c r="F98">
        <v>4200000</v>
      </c>
      <c r="G98">
        <v>344541.59</v>
      </c>
      <c r="H98">
        <v>267208.81</v>
      </c>
      <c r="I98">
        <v>66907.570000000007</v>
      </c>
      <c r="J98">
        <v>6932.42</v>
      </c>
      <c r="K98">
        <v>31</v>
      </c>
      <c r="L98">
        <v>5</v>
      </c>
      <c r="M98">
        <v>22</v>
      </c>
      <c r="N98">
        <v>1</v>
      </c>
      <c r="O98">
        <v>7</v>
      </c>
      <c r="P98">
        <v>9833.0400000000009</v>
      </c>
      <c r="Q98">
        <v>108.34</v>
      </c>
      <c r="R98">
        <v>102.4</v>
      </c>
      <c r="S98">
        <v>0</v>
      </c>
      <c r="T98">
        <v>0</v>
      </c>
      <c r="U98">
        <v>0</v>
      </c>
      <c r="V98">
        <v>0</v>
      </c>
      <c r="W98">
        <v>0</v>
      </c>
      <c r="X98">
        <v>0</v>
      </c>
      <c r="Y98">
        <v>0</v>
      </c>
      <c r="Z98">
        <v>0</v>
      </c>
      <c r="AA98">
        <v>0</v>
      </c>
      <c r="AB98">
        <v>0</v>
      </c>
      <c r="AC98">
        <v>1</v>
      </c>
      <c r="AD98">
        <v>0</v>
      </c>
      <c r="AE98">
        <v>0</v>
      </c>
      <c r="AF98">
        <v>0</v>
      </c>
      <c r="AG98">
        <v>0</v>
      </c>
      <c r="AH98">
        <v>0</v>
      </c>
      <c r="AI98">
        <v>0</v>
      </c>
      <c r="AJ98">
        <v>0</v>
      </c>
      <c r="AK98">
        <v>0</v>
      </c>
      <c r="AL98">
        <v>1</v>
      </c>
      <c r="AM98">
        <v>0</v>
      </c>
      <c r="AN98">
        <v>0</v>
      </c>
      <c r="AO98">
        <v>0</v>
      </c>
      <c r="AP98">
        <v>0</v>
      </c>
    </row>
    <row r="99" spans="4:42" x14ac:dyDescent="0.45">
      <c r="D99">
        <v>2021</v>
      </c>
      <c r="E99">
        <v>12</v>
      </c>
      <c r="F99">
        <v>7300000</v>
      </c>
      <c r="G99">
        <v>588106.22</v>
      </c>
      <c r="H99">
        <v>301718.83</v>
      </c>
      <c r="I99">
        <v>253707.59</v>
      </c>
      <c r="J99">
        <v>39315.26</v>
      </c>
      <c r="K99">
        <v>43</v>
      </c>
      <c r="L99">
        <v>6</v>
      </c>
      <c r="M99">
        <v>22</v>
      </c>
      <c r="N99">
        <v>4</v>
      </c>
      <c r="O99">
        <v>18</v>
      </c>
      <c r="P99">
        <v>71731.37</v>
      </c>
      <c r="Q99">
        <v>115.08</v>
      </c>
      <c r="R99">
        <v>102.24</v>
      </c>
      <c r="S99">
        <v>0</v>
      </c>
      <c r="T99">
        <v>0</v>
      </c>
      <c r="U99">
        <v>0</v>
      </c>
      <c r="V99">
        <v>0</v>
      </c>
      <c r="W99">
        <v>0</v>
      </c>
      <c r="X99">
        <v>0</v>
      </c>
      <c r="Y99">
        <v>0</v>
      </c>
      <c r="Z99">
        <v>0</v>
      </c>
      <c r="AA99">
        <v>0</v>
      </c>
      <c r="AB99">
        <v>0</v>
      </c>
      <c r="AC99">
        <v>1</v>
      </c>
      <c r="AD99">
        <v>0</v>
      </c>
      <c r="AE99">
        <v>0</v>
      </c>
      <c r="AF99">
        <v>0</v>
      </c>
      <c r="AG99">
        <v>1</v>
      </c>
      <c r="AH99">
        <v>0</v>
      </c>
      <c r="AI99">
        <v>0</v>
      </c>
      <c r="AJ99">
        <v>0</v>
      </c>
      <c r="AK99">
        <v>0</v>
      </c>
      <c r="AL99">
        <v>0</v>
      </c>
      <c r="AM99">
        <v>0</v>
      </c>
      <c r="AN99">
        <v>0</v>
      </c>
      <c r="AO99">
        <v>0</v>
      </c>
      <c r="AP99">
        <v>0</v>
      </c>
    </row>
    <row r="100" spans="4:42" x14ac:dyDescent="0.45">
      <c r="D100">
        <v>2022</v>
      </c>
      <c r="E100">
        <v>1</v>
      </c>
      <c r="F100">
        <v>25875000</v>
      </c>
      <c r="G100">
        <v>2245372.88</v>
      </c>
      <c r="H100">
        <v>1673426.13</v>
      </c>
      <c r="I100">
        <v>461391.75</v>
      </c>
      <c r="J100">
        <v>51834.81</v>
      </c>
      <c r="K100">
        <v>210</v>
      </c>
      <c r="L100">
        <v>16</v>
      </c>
      <c r="M100">
        <v>792</v>
      </c>
      <c r="N100">
        <v>10</v>
      </c>
      <c r="O100">
        <v>36</v>
      </c>
      <c r="P100">
        <v>605906.36</v>
      </c>
      <c r="Q100">
        <v>105.97</v>
      </c>
      <c r="R100">
        <v>102.3</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1</v>
      </c>
      <c r="AN100">
        <v>0</v>
      </c>
      <c r="AO100">
        <v>0</v>
      </c>
      <c r="AP100">
        <v>0</v>
      </c>
    </row>
    <row r="101" spans="4:42" x14ac:dyDescent="0.45">
      <c r="D101">
        <v>2022</v>
      </c>
      <c r="E101">
        <v>1</v>
      </c>
      <c r="F101">
        <v>8280000</v>
      </c>
      <c r="G101">
        <v>680985.86</v>
      </c>
      <c r="H101">
        <v>417408.54</v>
      </c>
      <c r="I101">
        <v>219139.6</v>
      </c>
      <c r="J101">
        <v>30505.23</v>
      </c>
      <c r="K101">
        <v>63</v>
      </c>
      <c r="L101">
        <v>4</v>
      </c>
      <c r="M101">
        <v>93</v>
      </c>
      <c r="N101">
        <v>1</v>
      </c>
      <c r="O101">
        <v>17</v>
      </c>
      <c r="P101">
        <v>33078.239999999998</v>
      </c>
      <c r="Q101">
        <v>107.69</v>
      </c>
      <c r="R101">
        <v>102.1</v>
      </c>
      <c r="S101">
        <v>0</v>
      </c>
      <c r="T101">
        <v>0</v>
      </c>
      <c r="U101">
        <v>0</v>
      </c>
      <c r="V101">
        <v>0</v>
      </c>
      <c r="W101">
        <v>0</v>
      </c>
      <c r="X101">
        <v>0</v>
      </c>
      <c r="Y101">
        <v>0</v>
      </c>
      <c r="Z101">
        <v>0</v>
      </c>
      <c r="AA101">
        <v>0</v>
      </c>
      <c r="AB101">
        <v>0</v>
      </c>
      <c r="AC101">
        <v>0</v>
      </c>
      <c r="AD101">
        <v>0</v>
      </c>
      <c r="AE101">
        <v>0</v>
      </c>
      <c r="AF101">
        <v>0</v>
      </c>
      <c r="AG101">
        <v>0</v>
      </c>
      <c r="AH101">
        <v>0</v>
      </c>
      <c r="AI101">
        <v>0</v>
      </c>
      <c r="AJ101">
        <v>1</v>
      </c>
      <c r="AK101">
        <v>0</v>
      </c>
      <c r="AL101">
        <v>0</v>
      </c>
      <c r="AM101">
        <v>0</v>
      </c>
      <c r="AN101">
        <v>0</v>
      </c>
      <c r="AO101">
        <v>0</v>
      </c>
      <c r="AP101">
        <v>0</v>
      </c>
    </row>
    <row r="102" spans="4:42" x14ac:dyDescent="0.45">
      <c r="D102">
        <v>2022</v>
      </c>
      <c r="E102">
        <v>1</v>
      </c>
      <c r="F102">
        <v>6417000</v>
      </c>
      <c r="G102">
        <v>514327.9</v>
      </c>
      <c r="H102">
        <v>253893.7</v>
      </c>
      <c r="I102">
        <v>240833.45</v>
      </c>
      <c r="J102">
        <v>19405.38</v>
      </c>
      <c r="K102">
        <v>30</v>
      </c>
      <c r="L102">
        <v>1</v>
      </c>
      <c r="M102">
        <v>13</v>
      </c>
      <c r="N102">
        <v>0</v>
      </c>
      <c r="O102">
        <v>16</v>
      </c>
      <c r="P102">
        <v>17343.169999999998</v>
      </c>
      <c r="Q102">
        <v>108.3</v>
      </c>
      <c r="R102">
        <v>102.66</v>
      </c>
      <c r="S102">
        <v>0</v>
      </c>
      <c r="T102">
        <v>0</v>
      </c>
      <c r="U102">
        <v>0</v>
      </c>
      <c r="V102">
        <v>0</v>
      </c>
      <c r="W102">
        <v>0</v>
      </c>
      <c r="X102">
        <v>0</v>
      </c>
      <c r="Y102">
        <v>0</v>
      </c>
      <c r="Z102">
        <v>0</v>
      </c>
      <c r="AA102">
        <v>0</v>
      </c>
      <c r="AB102">
        <v>0</v>
      </c>
      <c r="AC102">
        <v>0</v>
      </c>
      <c r="AD102">
        <v>0</v>
      </c>
      <c r="AE102">
        <v>0</v>
      </c>
      <c r="AF102">
        <v>0</v>
      </c>
      <c r="AG102">
        <v>0</v>
      </c>
      <c r="AH102">
        <v>0</v>
      </c>
      <c r="AI102">
        <v>1</v>
      </c>
      <c r="AJ102">
        <v>0</v>
      </c>
      <c r="AK102">
        <v>0</v>
      </c>
      <c r="AL102">
        <v>0</v>
      </c>
      <c r="AM102">
        <v>0</v>
      </c>
      <c r="AN102">
        <v>0</v>
      </c>
      <c r="AO102">
        <v>0</v>
      </c>
      <c r="AP102">
        <v>0</v>
      </c>
    </row>
    <row r="103" spans="4:42" x14ac:dyDescent="0.45">
      <c r="D103">
        <v>2022</v>
      </c>
      <c r="E103">
        <v>1</v>
      </c>
      <c r="F103">
        <v>4347000</v>
      </c>
      <c r="G103">
        <v>368901.32</v>
      </c>
      <c r="H103">
        <v>289661.63</v>
      </c>
      <c r="I103">
        <v>68309.259999999995</v>
      </c>
      <c r="J103">
        <v>9932.57</v>
      </c>
      <c r="K103">
        <v>32</v>
      </c>
      <c r="L103">
        <v>0</v>
      </c>
      <c r="M103">
        <v>32</v>
      </c>
      <c r="N103">
        <v>4</v>
      </c>
      <c r="O103">
        <v>20</v>
      </c>
      <c r="P103">
        <v>33335.370000000003</v>
      </c>
      <c r="Q103">
        <v>112.15</v>
      </c>
      <c r="R103">
        <v>102.77</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1</v>
      </c>
      <c r="AM103">
        <v>0</v>
      </c>
      <c r="AN103">
        <v>0</v>
      </c>
      <c r="AO103">
        <v>0</v>
      </c>
      <c r="AP103">
        <v>0</v>
      </c>
    </row>
    <row r="104" spans="4:42" x14ac:dyDescent="0.45">
      <c r="D104">
        <v>2022</v>
      </c>
      <c r="E104">
        <v>1</v>
      </c>
      <c r="F104">
        <v>13972000</v>
      </c>
      <c r="G104">
        <v>1247304.26</v>
      </c>
      <c r="H104">
        <v>594112.86</v>
      </c>
      <c r="I104">
        <v>652290.44999999995</v>
      </c>
      <c r="J104">
        <v>41946.55</v>
      </c>
      <c r="K104">
        <v>80</v>
      </c>
      <c r="L104">
        <v>6</v>
      </c>
      <c r="M104">
        <v>123</v>
      </c>
      <c r="N104">
        <v>7</v>
      </c>
      <c r="O104">
        <v>25</v>
      </c>
      <c r="P104">
        <v>195338.74</v>
      </c>
      <c r="Q104">
        <v>109.73</v>
      </c>
      <c r="R104">
        <v>102.39</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1</v>
      </c>
      <c r="AP104">
        <v>0</v>
      </c>
    </row>
    <row r="105" spans="4:42" x14ac:dyDescent="0.45">
      <c r="D105">
        <v>2022</v>
      </c>
      <c r="E105">
        <v>1</v>
      </c>
      <c r="F105">
        <v>7555000</v>
      </c>
      <c r="G105">
        <v>585067.52000000002</v>
      </c>
      <c r="H105">
        <v>329371.01</v>
      </c>
      <c r="I105">
        <v>222089.04</v>
      </c>
      <c r="J105">
        <v>34549.800000000003</v>
      </c>
      <c r="K105">
        <v>42</v>
      </c>
      <c r="L105">
        <v>3</v>
      </c>
      <c r="M105">
        <v>81</v>
      </c>
      <c r="N105">
        <v>2</v>
      </c>
      <c r="O105">
        <v>13</v>
      </c>
      <c r="P105">
        <v>50863.25</v>
      </c>
      <c r="Q105">
        <v>110.43</v>
      </c>
      <c r="R105">
        <v>102.05</v>
      </c>
      <c r="S105">
        <v>0</v>
      </c>
      <c r="T105">
        <v>0</v>
      </c>
      <c r="U105">
        <v>0</v>
      </c>
      <c r="V105">
        <v>0</v>
      </c>
      <c r="W105">
        <v>0</v>
      </c>
      <c r="X105">
        <v>0</v>
      </c>
      <c r="Y105">
        <v>0</v>
      </c>
      <c r="Z105">
        <v>0</v>
      </c>
      <c r="AA105">
        <v>0</v>
      </c>
      <c r="AB105">
        <v>0</v>
      </c>
      <c r="AC105">
        <v>0</v>
      </c>
      <c r="AD105">
        <v>0</v>
      </c>
      <c r="AE105">
        <v>0</v>
      </c>
      <c r="AF105">
        <v>0</v>
      </c>
      <c r="AG105">
        <v>1</v>
      </c>
      <c r="AH105">
        <v>0</v>
      </c>
      <c r="AI105">
        <v>0</v>
      </c>
      <c r="AJ105">
        <v>0</v>
      </c>
      <c r="AK105">
        <v>0</v>
      </c>
      <c r="AL105">
        <v>0</v>
      </c>
      <c r="AM105">
        <v>0</v>
      </c>
      <c r="AN105">
        <v>0</v>
      </c>
      <c r="AO105">
        <v>0</v>
      </c>
      <c r="AP105">
        <v>0</v>
      </c>
    </row>
    <row r="106" spans="4:42" x14ac:dyDescent="0.45">
      <c r="D106">
        <v>2022</v>
      </c>
      <c r="E106">
        <v>1</v>
      </c>
      <c r="F106">
        <v>22770000</v>
      </c>
      <c r="G106">
        <v>1855877.17</v>
      </c>
      <c r="H106">
        <v>1501302.38</v>
      </c>
      <c r="I106">
        <v>348095.44</v>
      </c>
      <c r="J106">
        <v>29133.06</v>
      </c>
      <c r="K106">
        <v>172</v>
      </c>
      <c r="L106">
        <v>20</v>
      </c>
      <c r="M106">
        <v>245</v>
      </c>
      <c r="N106">
        <v>9</v>
      </c>
      <c r="O106">
        <v>39</v>
      </c>
      <c r="P106">
        <v>569024.75</v>
      </c>
      <c r="Q106">
        <v>111.67</v>
      </c>
      <c r="R106">
        <v>103.17</v>
      </c>
      <c r="S106">
        <v>0</v>
      </c>
      <c r="T106">
        <v>0</v>
      </c>
      <c r="U106">
        <v>0</v>
      </c>
      <c r="V106">
        <v>0</v>
      </c>
      <c r="W106">
        <v>0</v>
      </c>
      <c r="X106">
        <v>0</v>
      </c>
      <c r="Y106">
        <v>0</v>
      </c>
      <c r="Z106">
        <v>0</v>
      </c>
      <c r="AA106">
        <v>0</v>
      </c>
      <c r="AB106">
        <v>0</v>
      </c>
      <c r="AC106">
        <v>0</v>
      </c>
      <c r="AD106">
        <v>0</v>
      </c>
      <c r="AE106">
        <v>0</v>
      </c>
      <c r="AF106">
        <v>1</v>
      </c>
      <c r="AG106">
        <v>0</v>
      </c>
      <c r="AH106">
        <v>0</v>
      </c>
      <c r="AI106">
        <v>0</v>
      </c>
      <c r="AJ106">
        <v>0</v>
      </c>
      <c r="AK106">
        <v>0</v>
      </c>
      <c r="AL106">
        <v>0</v>
      </c>
      <c r="AM106">
        <v>0</v>
      </c>
      <c r="AN106">
        <v>0</v>
      </c>
      <c r="AO106">
        <v>0</v>
      </c>
      <c r="AP106">
        <v>0</v>
      </c>
    </row>
    <row r="107" spans="4:42" x14ac:dyDescent="0.45">
      <c r="D107">
        <v>2022</v>
      </c>
      <c r="E107">
        <v>1</v>
      </c>
      <c r="F107">
        <v>4968000</v>
      </c>
      <c r="G107">
        <v>424902.15</v>
      </c>
      <c r="H107">
        <v>341422.5</v>
      </c>
      <c r="I107">
        <v>71317.08</v>
      </c>
      <c r="J107">
        <v>8628.9500000000007</v>
      </c>
      <c r="K107">
        <v>35</v>
      </c>
      <c r="L107">
        <v>0</v>
      </c>
      <c r="M107">
        <v>73</v>
      </c>
      <c r="N107">
        <v>0</v>
      </c>
      <c r="O107">
        <v>9</v>
      </c>
      <c r="P107">
        <v>8206.33</v>
      </c>
      <c r="Q107">
        <v>108.35</v>
      </c>
      <c r="R107">
        <v>102.9</v>
      </c>
      <c r="S107">
        <v>0</v>
      </c>
      <c r="T107">
        <v>0</v>
      </c>
      <c r="U107">
        <v>0</v>
      </c>
      <c r="V107">
        <v>0</v>
      </c>
      <c r="W107">
        <v>0</v>
      </c>
      <c r="X107">
        <v>0</v>
      </c>
      <c r="Y107">
        <v>0</v>
      </c>
      <c r="Z107">
        <v>0</v>
      </c>
      <c r="AA107">
        <v>0</v>
      </c>
      <c r="AB107">
        <v>0</v>
      </c>
      <c r="AC107">
        <v>0</v>
      </c>
      <c r="AD107">
        <v>1</v>
      </c>
      <c r="AE107">
        <v>0</v>
      </c>
      <c r="AF107">
        <v>0</v>
      </c>
      <c r="AG107">
        <v>0</v>
      </c>
      <c r="AH107">
        <v>0</v>
      </c>
      <c r="AI107">
        <v>0</v>
      </c>
      <c r="AJ107">
        <v>0</v>
      </c>
      <c r="AK107">
        <v>0</v>
      </c>
      <c r="AL107">
        <v>0</v>
      </c>
      <c r="AM107">
        <v>0</v>
      </c>
      <c r="AN107">
        <v>0</v>
      </c>
      <c r="AO107">
        <v>0</v>
      </c>
      <c r="AP107">
        <v>0</v>
      </c>
    </row>
    <row r="108" spans="4:42" x14ac:dyDescent="0.45">
      <c r="D108">
        <v>2022</v>
      </c>
      <c r="E108">
        <v>1</v>
      </c>
      <c r="F108">
        <v>3622000</v>
      </c>
      <c r="G108">
        <v>310946.43</v>
      </c>
      <c r="H108">
        <v>255229.66</v>
      </c>
      <c r="I108">
        <v>43931.56</v>
      </c>
      <c r="J108">
        <v>6975.74</v>
      </c>
      <c r="K108">
        <v>27</v>
      </c>
      <c r="L108">
        <v>2</v>
      </c>
      <c r="M108">
        <v>28</v>
      </c>
      <c r="N108">
        <v>1</v>
      </c>
      <c r="O108">
        <v>6</v>
      </c>
      <c r="P108">
        <v>8715.27</v>
      </c>
      <c r="Q108">
        <v>109.64</v>
      </c>
      <c r="R108">
        <v>102.09</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row>
    <row r="109" spans="4:42" x14ac:dyDescent="0.45">
      <c r="D109">
        <v>2022</v>
      </c>
      <c r="E109">
        <v>1</v>
      </c>
      <c r="F109">
        <v>19665000</v>
      </c>
      <c r="G109">
        <v>1549506.84</v>
      </c>
      <c r="H109">
        <v>714739.16</v>
      </c>
      <c r="I109">
        <v>708775.1</v>
      </c>
      <c r="J109">
        <v>74687.759999999995</v>
      </c>
      <c r="K109">
        <v>92</v>
      </c>
      <c r="L109">
        <v>6</v>
      </c>
      <c r="M109">
        <v>396</v>
      </c>
      <c r="N109">
        <v>5</v>
      </c>
      <c r="O109">
        <v>25</v>
      </c>
      <c r="P109">
        <v>203388.07</v>
      </c>
      <c r="Q109">
        <v>109.46</v>
      </c>
      <c r="R109">
        <v>103.03</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1</v>
      </c>
    </row>
    <row r="110" spans="4:42" x14ac:dyDescent="0.45">
      <c r="D110">
        <v>2022</v>
      </c>
      <c r="E110">
        <v>2</v>
      </c>
      <c r="F110">
        <v>3622000</v>
      </c>
      <c r="G110">
        <v>321237.06</v>
      </c>
      <c r="H110">
        <v>269341.84999999998</v>
      </c>
      <c r="I110">
        <v>46876.33</v>
      </c>
      <c r="J110">
        <v>7102.37</v>
      </c>
      <c r="K110">
        <v>29</v>
      </c>
      <c r="L110">
        <v>1</v>
      </c>
      <c r="M110">
        <v>0</v>
      </c>
      <c r="N110">
        <v>2</v>
      </c>
      <c r="O110">
        <v>13</v>
      </c>
      <c r="P110">
        <v>20117.34</v>
      </c>
      <c r="Q110">
        <v>110.23</v>
      </c>
      <c r="R110">
        <v>103.22</v>
      </c>
      <c r="S110">
        <v>0</v>
      </c>
      <c r="T110">
        <v>0</v>
      </c>
      <c r="U110">
        <v>0</v>
      </c>
      <c r="V110">
        <v>0</v>
      </c>
      <c r="W110">
        <v>0</v>
      </c>
      <c r="X110">
        <v>0</v>
      </c>
      <c r="Y110">
        <v>0</v>
      </c>
      <c r="Z110">
        <v>0</v>
      </c>
      <c r="AA110">
        <v>0</v>
      </c>
      <c r="AB110">
        <v>1</v>
      </c>
      <c r="AC110">
        <v>0</v>
      </c>
      <c r="AD110">
        <v>0</v>
      </c>
      <c r="AE110">
        <v>0</v>
      </c>
      <c r="AF110">
        <v>0</v>
      </c>
      <c r="AG110">
        <v>0</v>
      </c>
      <c r="AH110">
        <v>0</v>
      </c>
      <c r="AI110">
        <v>0</v>
      </c>
      <c r="AJ110">
        <v>0</v>
      </c>
      <c r="AK110">
        <v>0</v>
      </c>
      <c r="AL110">
        <v>0</v>
      </c>
      <c r="AM110">
        <v>0</v>
      </c>
      <c r="AN110">
        <v>0</v>
      </c>
      <c r="AO110">
        <v>0</v>
      </c>
      <c r="AP110">
        <v>0</v>
      </c>
    </row>
    <row r="111" spans="4:42" x14ac:dyDescent="0.45">
      <c r="D111">
        <v>2022</v>
      </c>
      <c r="E111">
        <v>2</v>
      </c>
      <c r="F111">
        <v>22770000</v>
      </c>
      <c r="G111">
        <v>1923591.75</v>
      </c>
      <c r="H111">
        <v>1527930.6</v>
      </c>
      <c r="I111">
        <v>400644.71</v>
      </c>
      <c r="J111">
        <v>59635.08</v>
      </c>
      <c r="K111">
        <v>174</v>
      </c>
      <c r="L111">
        <v>12</v>
      </c>
      <c r="M111">
        <v>734</v>
      </c>
      <c r="N111">
        <v>8</v>
      </c>
      <c r="O111">
        <v>34</v>
      </c>
      <c r="P111">
        <v>174335</v>
      </c>
      <c r="Q111">
        <v>108.88</v>
      </c>
      <c r="R111">
        <v>103.33</v>
      </c>
      <c r="S111">
        <v>0</v>
      </c>
      <c r="T111">
        <v>0</v>
      </c>
      <c r="U111">
        <v>0</v>
      </c>
      <c r="V111">
        <v>0</v>
      </c>
      <c r="W111">
        <v>0</v>
      </c>
      <c r="X111">
        <v>0</v>
      </c>
      <c r="Y111">
        <v>0</v>
      </c>
      <c r="Z111">
        <v>0</v>
      </c>
      <c r="AA111">
        <v>0</v>
      </c>
      <c r="AB111">
        <v>1</v>
      </c>
      <c r="AC111">
        <v>0</v>
      </c>
      <c r="AD111">
        <v>0</v>
      </c>
      <c r="AE111">
        <v>0</v>
      </c>
      <c r="AF111">
        <v>1</v>
      </c>
      <c r="AG111">
        <v>0</v>
      </c>
      <c r="AH111">
        <v>0</v>
      </c>
      <c r="AI111">
        <v>0</v>
      </c>
      <c r="AJ111">
        <v>0</v>
      </c>
      <c r="AK111">
        <v>0</v>
      </c>
      <c r="AL111">
        <v>0</v>
      </c>
      <c r="AM111">
        <v>0</v>
      </c>
      <c r="AN111">
        <v>0</v>
      </c>
      <c r="AO111">
        <v>0</v>
      </c>
      <c r="AP111">
        <v>0</v>
      </c>
    </row>
    <row r="112" spans="4:42" x14ac:dyDescent="0.45">
      <c r="D112">
        <v>2022</v>
      </c>
      <c r="E112">
        <v>2</v>
      </c>
      <c r="F112">
        <v>25875000</v>
      </c>
      <c r="G112">
        <v>2513476.9300000002</v>
      </c>
      <c r="H112">
        <v>1734515.13</v>
      </c>
      <c r="I112">
        <v>627373.27</v>
      </c>
      <c r="J112">
        <v>235962.78</v>
      </c>
      <c r="K112">
        <v>211</v>
      </c>
      <c r="L112">
        <v>17</v>
      </c>
      <c r="M112">
        <v>952</v>
      </c>
      <c r="N112">
        <v>10</v>
      </c>
      <c r="O112">
        <v>38</v>
      </c>
      <c r="P112">
        <v>712376.69</v>
      </c>
      <c r="Q112">
        <v>105.7</v>
      </c>
      <c r="R112">
        <v>103.96</v>
      </c>
      <c r="S112">
        <v>0</v>
      </c>
      <c r="T112">
        <v>0</v>
      </c>
      <c r="U112">
        <v>0</v>
      </c>
      <c r="V112">
        <v>0</v>
      </c>
      <c r="W112">
        <v>0</v>
      </c>
      <c r="X112">
        <v>0</v>
      </c>
      <c r="Y112">
        <v>0</v>
      </c>
      <c r="Z112">
        <v>0</v>
      </c>
      <c r="AA112">
        <v>0</v>
      </c>
      <c r="AB112">
        <v>1</v>
      </c>
      <c r="AC112">
        <v>0</v>
      </c>
      <c r="AD112">
        <v>0</v>
      </c>
      <c r="AE112">
        <v>0</v>
      </c>
      <c r="AF112">
        <v>0</v>
      </c>
      <c r="AG112">
        <v>0</v>
      </c>
      <c r="AH112">
        <v>0</v>
      </c>
      <c r="AI112">
        <v>0</v>
      </c>
      <c r="AJ112">
        <v>0</v>
      </c>
      <c r="AK112">
        <v>0</v>
      </c>
      <c r="AL112">
        <v>0</v>
      </c>
      <c r="AM112">
        <v>1</v>
      </c>
      <c r="AN112">
        <v>0</v>
      </c>
      <c r="AO112">
        <v>0</v>
      </c>
      <c r="AP112">
        <v>0</v>
      </c>
    </row>
    <row r="113" spans="4:42" x14ac:dyDescent="0.45">
      <c r="D113">
        <v>2022</v>
      </c>
      <c r="E113">
        <v>2</v>
      </c>
      <c r="F113">
        <v>7555000</v>
      </c>
      <c r="G113">
        <v>604843.38</v>
      </c>
      <c r="H113">
        <v>317773.11</v>
      </c>
      <c r="I113">
        <v>279266.75</v>
      </c>
      <c r="J113">
        <v>19064.310000000001</v>
      </c>
      <c r="K113">
        <v>43</v>
      </c>
      <c r="L113">
        <v>2</v>
      </c>
      <c r="M113">
        <v>18</v>
      </c>
      <c r="N113">
        <v>3</v>
      </c>
      <c r="O113">
        <v>18</v>
      </c>
      <c r="P113">
        <v>79068.570000000007</v>
      </c>
      <c r="Q113">
        <v>108.41</v>
      </c>
      <c r="R113">
        <v>102.55</v>
      </c>
      <c r="S113">
        <v>0</v>
      </c>
      <c r="T113">
        <v>0</v>
      </c>
      <c r="U113">
        <v>0</v>
      </c>
      <c r="V113">
        <v>0</v>
      </c>
      <c r="W113">
        <v>0</v>
      </c>
      <c r="X113">
        <v>0</v>
      </c>
      <c r="Y113">
        <v>0</v>
      </c>
      <c r="Z113">
        <v>0</v>
      </c>
      <c r="AA113">
        <v>0</v>
      </c>
      <c r="AB113">
        <v>1</v>
      </c>
      <c r="AC113">
        <v>0</v>
      </c>
      <c r="AD113">
        <v>0</v>
      </c>
      <c r="AE113">
        <v>0</v>
      </c>
      <c r="AF113">
        <v>0</v>
      </c>
      <c r="AG113">
        <v>1</v>
      </c>
      <c r="AH113">
        <v>0</v>
      </c>
      <c r="AI113">
        <v>0</v>
      </c>
      <c r="AJ113">
        <v>0</v>
      </c>
      <c r="AK113">
        <v>0</v>
      </c>
      <c r="AL113">
        <v>0</v>
      </c>
      <c r="AM113">
        <v>0</v>
      </c>
      <c r="AN113">
        <v>0</v>
      </c>
      <c r="AO113">
        <v>0</v>
      </c>
      <c r="AP113">
        <v>0</v>
      </c>
    </row>
    <row r="114" spans="4:42" x14ac:dyDescent="0.45">
      <c r="D114">
        <v>2022</v>
      </c>
      <c r="E114">
        <v>2</v>
      </c>
      <c r="F114">
        <v>8280000</v>
      </c>
      <c r="G114">
        <v>722309.77</v>
      </c>
      <c r="H114">
        <v>430383.57</v>
      </c>
      <c r="I114">
        <v>238688.68</v>
      </c>
      <c r="J114">
        <v>19538.25</v>
      </c>
      <c r="K114">
        <v>64</v>
      </c>
      <c r="L114">
        <v>3</v>
      </c>
      <c r="M114">
        <v>137</v>
      </c>
      <c r="N114">
        <v>6</v>
      </c>
      <c r="O114">
        <v>23</v>
      </c>
      <c r="P114">
        <v>84114.58</v>
      </c>
      <c r="Q114">
        <v>105.79</v>
      </c>
      <c r="R114">
        <v>102.58</v>
      </c>
      <c r="S114">
        <v>0</v>
      </c>
      <c r="T114">
        <v>0</v>
      </c>
      <c r="U114">
        <v>0</v>
      </c>
      <c r="V114">
        <v>0</v>
      </c>
      <c r="W114">
        <v>0</v>
      </c>
      <c r="X114">
        <v>0</v>
      </c>
      <c r="Y114">
        <v>0</v>
      </c>
      <c r="Z114">
        <v>0</v>
      </c>
      <c r="AA114">
        <v>0</v>
      </c>
      <c r="AB114">
        <v>1</v>
      </c>
      <c r="AC114">
        <v>0</v>
      </c>
      <c r="AD114">
        <v>0</v>
      </c>
      <c r="AE114">
        <v>0</v>
      </c>
      <c r="AF114">
        <v>0</v>
      </c>
      <c r="AG114">
        <v>0</v>
      </c>
      <c r="AH114">
        <v>0</v>
      </c>
      <c r="AI114">
        <v>0</v>
      </c>
      <c r="AJ114">
        <v>1</v>
      </c>
      <c r="AK114">
        <v>0</v>
      </c>
      <c r="AL114">
        <v>0</v>
      </c>
      <c r="AM114">
        <v>0</v>
      </c>
      <c r="AN114">
        <v>0</v>
      </c>
      <c r="AO114">
        <v>0</v>
      </c>
      <c r="AP114">
        <v>0</v>
      </c>
    </row>
    <row r="115" spans="4:42" x14ac:dyDescent="0.45">
      <c r="D115">
        <v>2022</v>
      </c>
      <c r="E115">
        <v>2</v>
      </c>
      <c r="F115">
        <v>19665000</v>
      </c>
      <c r="G115">
        <v>2170946.33</v>
      </c>
      <c r="H115">
        <v>769673.64</v>
      </c>
      <c r="I115">
        <v>919227.39</v>
      </c>
      <c r="J115">
        <v>454532.57</v>
      </c>
      <c r="K115">
        <v>96</v>
      </c>
      <c r="L115">
        <v>6</v>
      </c>
      <c r="M115">
        <v>455</v>
      </c>
      <c r="N115">
        <v>5</v>
      </c>
      <c r="O115">
        <v>24</v>
      </c>
      <c r="P115">
        <v>178964.2</v>
      </c>
      <c r="Q115">
        <v>110.78</v>
      </c>
      <c r="R115">
        <v>103.15</v>
      </c>
      <c r="S115">
        <v>0</v>
      </c>
      <c r="T115">
        <v>0</v>
      </c>
      <c r="U115">
        <v>0</v>
      </c>
      <c r="V115">
        <v>0</v>
      </c>
      <c r="W115">
        <v>0</v>
      </c>
      <c r="X115">
        <v>0</v>
      </c>
      <c r="Y115">
        <v>0</v>
      </c>
      <c r="Z115">
        <v>0</v>
      </c>
      <c r="AA115">
        <v>0</v>
      </c>
      <c r="AB115">
        <v>1</v>
      </c>
      <c r="AC115">
        <v>0</v>
      </c>
      <c r="AD115">
        <v>0</v>
      </c>
      <c r="AE115">
        <v>0</v>
      </c>
      <c r="AF115">
        <v>0</v>
      </c>
      <c r="AG115">
        <v>0</v>
      </c>
      <c r="AH115">
        <v>0</v>
      </c>
      <c r="AI115">
        <v>0</v>
      </c>
      <c r="AJ115">
        <v>0</v>
      </c>
      <c r="AK115">
        <v>0</v>
      </c>
      <c r="AL115">
        <v>0</v>
      </c>
      <c r="AM115">
        <v>0</v>
      </c>
      <c r="AN115">
        <v>0</v>
      </c>
      <c r="AO115">
        <v>0</v>
      </c>
      <c r="AP115">
        <v>1</v>
      </c>
    </row>
    <row r="116" spans="4:42" x14ac:dyDescent="0.45">
      <c r="D116">
        <v>2022</v>
      </c>
      <c r="E116">
        <v>2</v>
      </c>
      <c r="F116">
        <v>4968000</v>
      </c>
      <c r="G116">
        <v>417332.77</v>
      </c>
      <c r="H116">
        <v>345592.43</v>
      </c>
      <c r="I116">
        <v>67741.22</v>
      </c>
      <c r="J116">
        <v>5938.43</v>
      </c>
      <c r="K116">
        <v>36</v>
      </c>
      <c r="L116">
        <v>0</v>
      </c>
      <c r="M116">
        <v>24</v>
      </c>
      <c r="N116">
        <v>1</v>
      </c>
      <c r="O116">
        <v>6</v>
      </c>
      <c r="P116">
        <v>16395.54</v>
      </c>
      <c r="Q116">
        <v>112.2</v>
      </c>
      <c r="R116">
        <v>103.32</v>
      </c>
      <c r="S116">
        <v>0</v>
      </c>
      <c r="T116">
        <v>0</v>
      </c>
      <c r="U116">
        <v>0</v>
      </c>
      <c r="V116">
        <v>0</v>
      </c>
      <c r="W116">
        <v>0</v>
      </c>
      <c r="X116">
        <v>0</v>
      </c>
      <c r="Y116">
        <v>0</v>
      </c>
      <c r="Z116">
        <v>0</v>
      </c>
      <c r="AA116">
        <v>0</v>
      </c>
      <c r="AB116">
        <v>1</v>
      </c>
      <c r="AC116">
        <v>0</v>
      </c>
      <c r="AD116">
        <v>1</v>
      </c>
      <c r="AE116">
        <v>0</v>
      </c>
      <c r="AF116">
        <v>0</v>
      </c>
      <c r="AG116">
        <v>0</v>
      </c>
      <c r="AH116">
        <v>0</v>
      </c>
      <c r="AI116">
        <v>0</v>
      </c>
      <c r="AJ116">
        <v>0</v>
      </c>
      <c r="AK116">
        <v>0</v>
      </c>
      <c r="AL116">
        <v>0</v>
      </c>
      <c r="AM116">
        <v>0</v>
      </c>
      <c r="AN116">
        <v>0</v>
      </c>
      <c r="AO116">
        <v>0</v>
      </c>
      <c r="AP116">
        <v>0</v>
      </c>
    </row>
    <row r="117" spans="4:42" x14ac:dyDescent="0.45">
      <c r="D117">
        <v>2022</v>
      </c>
      <c r="E117">
        <v>2</v>
      </c>
      <c r="F117">
        <v>4347000</v>
      </c>
      <c r="G117">
        <v>385758.09</v>
      </c>
      <c r="H117">
        <v>305134.8</v>
      </c>
      <c r="I117">
        <v>64921.22</v>
      </c>
      <c r="J117">
        <v>4822.6000000000004</v>
      </c>
      <c r="K117">
        <v>32</v>
      </c>
      <c r="L117">
        <v>6</v>
      </c>
      <c r="M117">
        <v>56</v>
      </c>
      <c r="N117">
        <v>4</v>
      </c>
      <c r="O117">
        <v>16</v>
      </c>
      <c r="P117">
        <v>53844.55</v>
      </c>
      <c r="Q117">
        <v>110.43</v>
      </c>
      <c r="R117">
        <v>102.27</v>
      </c>
      <c r="S117">
        <v>0</v>
      </c>
      <c r="T117">
        <v>0</v>
      </c>
      <c r="U117">
        <v>0</v>
      </c>
      <c r="V117">
        <v>0</v>
      </c>
      <c r="W117">
        <v>0</v>
      </c>
      <c r="X117">
        <v>0</v>
      </c>
      <c r="Y117">
        <v>0</v>
      </c>
      <c r="Z117">
        <v>0</v>
      </c>
      <c r="AA117">
        <v>0</v>
      </c>
      <c r="AB117">
        <v>1</v>
      </c>
      <c r="AC117">
        <v>0</v>
      </c>
      <c r="AD117">
        <v>0</v>
      </c>
      <c r="AE117">
        <v>0</v>
      </c>
      <c r="AF117">
        <v>0</v>
      </c>
      <c r="AG117">
        <v>0</v>
      </c>
      <c r="AH117">
        <v>0</v>
      </c>
      <c r="AI117">
        <v>0</v>
      </c>
      <c r="AJ117">
        <v>0</v>
      </c>
      <c r="AK117">
        <v>0</v>
      </c>
      <c r="AL117">
        <v>1</v>
      </c>
      <c r="AM117">
        <v>0</v>
      </c>
      <c r="AN117">
        <v>0</v>
      </c>
      <c r="AO117">
        <v>0</v>
      </c>
      <c r="AP117">
        <v>0</v>
      </c>
    </row>
    <row r="118" spans="4:42" x14ac:dyDescent="0.45">
      <c r="D118">
        <v>2022</v>
      </c>
      <c r="E118">
        <v>2</v>
      </c>
      <c r="F118">
        <v>13972000</v>
      </c>
      <c r="G118">
        <v>1228083.67</v>
      </c>
      <c r="H118">
        <v>533828.16</v>
      </c>
      <c r="I118">
        <v>602793.23</v>
      </c>
      <c r="J118">
        <v>79825.899999999994</v>
      </c>
      <c r="K118">
        <v>77</v>
      </c>
      <c r="L118">
        <v>4</v>
      </c>
      <c r="M118">
        <v>158</v>
      </c>
      <c r="N118">
        <v>6</v>
      </c>
      <c r="O118">
        <v>25</v>
      </c>
      <c r="P118">
        <v>170000.18</v>
      </c>
      <c r="Q118">
        <v>108.49</v>
      </c>
      <c r="R118">
        <v>103.31</v>
      </c>
      <c r="S118">
        <v>0</v>
      </c>
      <c r="T118">
        <v>0</v>
      </c>
      <c r="U118">
        <v>0</v>
      </c>
      <c r="V118">
        <v>0</v>
      </c>
      <c r="W118">
        <v>0</v>
      </c>
      <c r="X118">
        <v>0</v>
      </c>
      <c r="Y118">
        <v>0</v>
      </c>
      <c r="Z118">
        <v>0</v>
      </c>
      <c r="AA118">
        <v>0</v>
      </c>
      <c r="AB118">
        <v>1</v>
      </c>
      <c r="AC118">
        <v>0</v>
      </c>
      <c r="AD118">
        <v>0</v>
      </c>
      <c r="AE118">
        <v>0</v>
      </c>
      <c r="AF118">
        <v>0</v>
      </c>
      <c r="AG118">
        <v>0</v>
      </c>
      <c r="AH118">
        <v>0</v>
      </c>
      <c r="AI118">
        <v>0</v>
      </c>
      <c r="AJ118">
        <v>0</v>
      </c>
      <c r="AK118">
        <v>0</v>
      </c>
      <c r="AL118">
        <v>0</v>
      </c>
      <c r="AM118">
        <v>0</v>
      </c>
      <c r="AN118">
        <v>1</v>
      </c>
      <c r="AO118">
        <v>0</v>
      </c>
      <c r="AP118">
        <v>0</v>
      </c>
    </row>
    <row r="119" spans="4:42" x14ac:dyDescent="0.45">
      <c r="D119">
        <v>2022</v>
      </c>
      <c r="E119">
        <v>2</v>
      </c>
      <c r="F119">
        <v>6417000</v>
      </c>
      <c r="G119">
        <v>524070.86</v>
      </c>
      <c r="H119">
        <v>243963.2</v>
      </c>
      <c r="I119">
        <v>269796.78000000003</v>
      </c>
      <c r="J119">
        <v>10540.15</v>
      </c>
      <c r="K119">
        <v>29</v>
      </c>
      <c r="L119">
        <v>0</v>
      </c>
      <c r="M119">
        <v>44</v>
      </c>
      <c r="N119">
        <v>0</v>
      </c>
      <c r="O119">
        <v>12</v>
      </c>
      <c r="P119">
        <v>10103.950000000001</v>
      </c>
      <c r="Q119">
        <v>113.89</v>
      </c>
      <c r="R119">
        <v>102.87</v>
      </c>
      <c r="S119">
        <v>0</v>
      </c>
      <c r="T119">
        <v>0</v>
      </c>
      <c r="U119">
        <v>0</v>
      </c>
      <c r="V119">
        <v>0</v>
      </c>
      <c r="W119">
        <v>0</v>
      </c>
      <c r="X119">
        <v>0</v>
      </c>
      <c r="Y119">
        <v>0</v>
      </c>
      <c r="Z119">
        <v>0</v>
      </c>
      <c r="AA119">
        <v>0</v>
      </c>
      <c r="AB119">
        <v>1</v>
      </c>
      <c r="AC119">
        <v>0</v>
      </c>
      <c r="AD119">
        <v>0</v>
      </c>
      <c r="AE119">
        <v>0</v>
      </c>
      <c r="AF119">
        <v>0</v>
      </c>
      <c r="AG119">
        <v>0</v>
      </c>
      <c r="AH119">
        <v>1</v>
      </c>
      <c r="AI119">
        <v>0</v>
      </c>
      <c r="AJ119">
        <v>0</v>
      </c>
      <c r="AK119">
        <v>0</v>
      </c>
      <c r="AL119">
        <v>0</v>
      </c>
      <c r="AM119">
        <v>0</v>
      </c>
      <c r="AN119">
        <v>0</v>
      </c>
      <c r="AO119">
        <v>0</v>
      </c>
      <c r="AP119">
        <v>0</v>
      </c>
    </row>
    <row r="120" spans="4:42" x14ac:dyDescent="0.45">
      <c r="D120">
        <v>2022</v>
      </c>
      <c r="E120">
        <v>3</v>
      </c>
      <c r="F120">
        <v>25875000</v>
      </c>
      <c r="G120">
        <v>2139745.0499999998</v>
      </c>
      <c r="H120">
        <v>1647145.85</v>
      </c>
      <c r="I120">
        <v>501644.95</v>
      </c>
      <c r="J120">
        <v>64157.48</v>
      </c>
      <c r="K120">
        <v>203</v>
      </c>
      <c r="L120">
        <v>22</v>
      </c>
      <c r="M120">
        <v>812</v>
      </c>
      <c r="N120">
        <v>12</v>
      </c>
      <c r="O120">
        <v>36</v>
      </c>
      <c r="P120">
        <v>864908.9</v>
      </c>
      <c r="Q120">
        <v>107.53</v>
      </c>
      <c r="R120">
        <v>102.77</v>
      </c>
      <c r="S120">
        <v>0</v>
      </c>
      <c r="T120">
        <v>0</v>
      </c>
      <c r="U120">
        <v>1</v>
      </c>
      <c r="V120">
        <v>0</v>
      </c>
      <c r="W120">
        <v>0</v>
      </c>
      <c r="X120">
        <v>0</v>
      </c>
      <c r="Y120">
        <v>0</v>
      </c>
      <c r="Z120">
        <v>0</v>
      </c>
      <c r="AA120">
        <v>0</v>
      </c>
      <c r="AB120">
        <v>0</v>
      </c>
      <c r="AC120">
        <v>0</v>
      </c>
      <c r="AD120">
        <v>0</v>
      </c>
      <c r="AE120">
        <v>0</v>
      </c>
      <c r="AF120">
        <v>0</v>
      </c>
      <c r="AG120">
        <v>0</v>
      </c>
      <c r="AH120">
        <v>0</v>
      </c>
      <c r="AI120">
        <v>0</v>
      </c>
      <c r="AJ120">
        <v>0</v>
      </c>
      <c r="AK120">
        <v>0</v>
      </c>
      <c r="AL120">
        <v>0</v>
      </c>
      <c r="AM120">
        <v>1</v>
      </c>
      <c r="AN120">
        <v>0</v>
      </c>
      <c r="AO120">
        <v>0</v>
      </c>
      <c r="AP120">
        <v>0</v>
      </c>
    </row>
    <row r="121" spans="4:42" x14ac:dyDescent="0.45">
      <c r="D121">
        <v>2022</v>
      </c>
      <c r="E121">
        <v>3</v>
      </c>
      <c r="F121">
        <v>6417000</v>
      </c>
      <c r="G121">
        <v>526537.1</v>
      </c>
      <c r="H121">
        <v>245253.46</v>
      </c>
      <c r="I121">
        <v>266831.58</v>
      </c>
      <c r="J121">
        <v>31244.82</v>
      </c>
      <c r="K121">
        <v>29</v>
      </c>
      <c r="L121">
        <v>4</v>
      </c>
      <c r="M121">
        <v>38</v>
      </c>
      <c r="N121">
        <v>0</v>
      </c>
      <c r="O121">
        <v>14</v>
      </c>
      <c r="P121">
        <v>12130.23</v>
      </c>
      <c r="Q121">
        <v>109.76</v>
      </c>
      <c r="R121">
        <v>102.88</v>
      </c>
      <c r="S121">
        <v>0</v>
      </c>
      <c r="T121">
        <v>0</v>
      </c>
      <c r="U121">
        <v>1</v>
      </c>
      <c r="V121">
        <v>0</v>
      </c>
      <c r="W121">
        <v>0</v>
      </c>
      <c r="X121">
        <v>0</v>
      </c>
      <c r="Y121">
        <v>0</v>
      </c>
      <c r="Z121">
        <v>0</v>
      </c>
      <c r="AA121">
        <v>0</v>
      </c>
      <c r="AB121">
        <v>0</v>
      </c>
      <c r="AC121">
        <v>0</v>
      </c>
      <c r="AD121">
        <v>0</v>
      </c>
      <c r="AE121">
        <v>0</v>
      </c>
      <c r="AF121">
        <v>0</v>
      </c>
      <c r="AG121">
        <v>0</v>
      </c>
      <c r="AH121">
        <v>1</v>
      </c>
      <c r="AI121">
        <v>0</v>
      </c>
      <c r="AJ121">
        <v>0</v>
      </c>
      <c r="AK121">
        <v>0</v>
      </c>
      <c r="AL121">
        <v>0</v>
      </c>
      <c r="AM121">
        <v>0</v>
      </c>
      <c r="AN121">
        <v>0</v>
      </c>
      <c r="AO121">
        <v>0</v>
      </c>
      <c r="AP121">
        <v>0</v>
      </c>
    </row>
    <row r="122" spans="4:42" x14ac:dyDescent="0.45">
      <c r="D122">
        <v>2022</v>
      </c>
      <c r="E122">
        <v>3</v>
      </c>
      <c r="F122">
        <v>4347000</v>
      </c>
      <c r="G122">
        <v>427067.7</v>
      </c>
      <c r="H122">
        <v>298102.45</v>
      </c>
      <c r="I122">
        <v>77512.97</v>
      </c>
      <c r="J122">
        <v>49892.2</v>
      </c>
      <c r="K122">
        <v>32</v>
      </c>
      <c r="L122">
        <v>2</v>
      </c>
      <c r="M122">
        <v>61</v>
      </c>
      <c r="N122">
        <v>0</v>
      </c>
      <c r="O122">
        <v>7</v>
      </c>
      <c r="P122">
        <v>5273.41</v>
      </c>
      <c r="Q122">
        <v>105.63</v>
      </c>
      <c r="R122">
        <v>103.33</v>
      </c>
      <c r="S122">
        <v>0</v>
      </c>
      <c r="T122">
        <v>0</v>
      </c>
      <c r="U122">
        <v>1</v>
      </c>
      <c r="V122">
        <v>0</v>
      </c>
      <c r="W122">
        <v>0</v>
      </c>
      <c r="X122">
        <v>0</v>
      </c>
      <c r="Y122">
        <v>0</v>
      </c>
      <c r="Z122">
        <v>0</v>
      </c>
      <c r="AA122">
        <v>0</v>
      </c>
      <c r="AB122">
        <v>0</v>
      </c>
      <c r="AC122">
        <v>0</v>
      </c>
      <c r="AD122">
        <v>0</v>
      </c>
      <c r="AE122">
        <v>0</v>
      </c>
      <c r="AF122">
        <v>0</v>
      </c>
      <c r="AG122">
        <v>0</v>
      </c>
      <c r="AH122">
        <v>0</v>
      </c>
      <c r="AI122">
        <v>0</v>
      </c>
      <c r="AJ122">
        <v>0</v>
      </c>
      <c r="AK122">
        <v>0</v>
      </c>
      <c r="AL122">
        <v>1</v>
      </c>
      <c r="AM122">
        <v>0</v>
      </c>
      <c r="AN122">
        <v>0</v>
      </c>
      <c r="AO122">
        <v>0</v>
      </c>
      <c r="AP122">
        <v>0</v>
      </c>
    </row>
    <row r="123" spans="4:42" x14ac:dyDescent="0.45">
      <c r="D123">
        <v>2022</v>
      </c>
      <c r="E123">
        <v>3</v>
      </c>
      <c r="F123">
        <v>8280000</v>
      </c>
      <c r="G123">
        <v>724586.59</v>
      </c>
      <c r="H123">
        <v>432820.87</v>
      </c>
      <c r="I123">
        <v>256127.49</v>
      </c>
      <c r="J123">
        <v>29434.48</v>
      </c>
      <c r="K123">
        <v>63</v>
      </c>
      <c r="L123">
        <v>1</v>
      </c>
      <c r="M123">
        <v>94</v>
      </c>
      <c r="N123">
        <v>5</v>
      </c>
      <c r="O123">
        <v>19</v>
      </c>
      <c r="P123">
        <v>70712.39</v>
      </c>
      <c r="Q123">
        <v>107.18</v>
      </c>
      <c r="R123">
        <v>103.55</v>
      </c>
      <c r="S123">
        <v>0</v>
      </c>
      <c r="T123">
        <v>0</v>
      </c>
      <c r="U123">
        <v>1</v>
      </c>
      <c r="V123">
        <v>0</v>
      </c>
      <c r="W123">
        <v>0</v>
      </c>
      <c r="X123">
        <v>0</v>
      </c>
      <c r="Y123">
        <v>0</v>
      </c>
      <c r="Z123">
        <v>0</v>
      </c>
      <c r="AA123">
        <v>0</v>
      </c>
      <c r="AB123">
        <v>0</v>
      </c>
      <c r="AC123">
        <v>0</v>
      </c>
      <c r="AD123">
        <v>0</v>
      </c>
      <c r="AE123">
        <v>0</v>
      </c>
      <c r="AF123">
        <v>0</v>
      </c>
      <c r="AG123">
        <v>0</v>
      </c>
      <c r="AH123">
        <v>0</v>
      </c>
      <c r="AI123">
        <v>0</v>
      </c>
      <c r="AJ123">
        <v>1</v>
      </c>
      <c r="AK123">
        <v>0</v>
      </c>
      <c r="AL123">
        <v>0</v>
      </c>
      <c r="AM123">
        <v>0</v>
      </c>
      <c r="AN123">
        <v>0</v>
      </c>
      <c r="AO123">
        <v>0</v>
      </c>
      <c r="AP123">
        <v>0</v>
      </c>
    </row>
    <row r="124" spans="4:42" x14ac:dyDescent="0.45">
      <c r="D124">
        <v>2022</v>
      </c>
      <c r="E124">
        <v>3</v>
      </c>
      <c r="F124">
        <v>19665000</v>
      </c>
      <c r="G124">
        <v>1363955.4</v>
      </c>
      <c r="H124">
        <v>737710.99</v>
      </c>
      <c r="I124">
        <v>714345.67</v>
      </c>
      <c r="J124">
        <v>111060.7</v>
      </c>
      <c r="K124">
        <v>93</v>
      </c>
      <c r="L124">
        <v>7</v>
      </c>
      <c r="M124">
        <v>493</v>
      </c>
      <c r="N124">
        <v>5</v>
      </c>
      <c r="O124">
        <v>26</v>
      </c>
      <c r="P124">
        <v>306159.08</v>
      </c>
      <c r="Q124">
        <v>110.4</v>
      </c>
      <c r="R124">
        <v>103.66</v>
      </c>
      <c r="S124">
        <v>0</v>
      </c>
      <c r="T124">
        <v>0</v>
      </c>
      <c r="U124">
        <v>1</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1</v>
      </c>
    </row>
    <row r="125" spans="4:42" x14ac:dyDescent="0.45">
      <c r="D125">
        <v>2022</v>
      </c>
      <c r="E125">
        <v>3</v>
      </c>
      <c r="F125">
        <v>3622000</v>
      </c>
      <c r="G125">
        <v>330351.73</v>
      </c>
      <c r="H125">
        <v>251753.58</v>
      </c>
      <c r="I125">
        <v>51013.3</v>
      </c>
      <c r="J125">
        <v>30676</v>
      </c>
      <c r="K125">
        <v>26</v>
      </c>
      <c r="L125">
        <v>6</v>
      </c>
      <c r="M125">
        <v>41</v>
      </c>
      <c r="N125">
        <v>0</v>
      </c>
      <c r="O125">
        <v>7</v>
      </c>
      <c r="P125">
        <v>4181.01</v>
      </c>
      <c r="Q125">
        <v>111.86</v>
      </c>
      <c r="R125">
        <v>103.64</v>
      </c>
      <c r="S125">
        <v>0</v>
      </c>
      <c r="T125">
        <v>0</v>
      </c>
      <c r="U125">
        <v>1</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row>
    <row r="126" spans="4:42" x14ac:dyDescent="0.45">
      <c r="D126">
        <v>2022</v>
      </c>
      <c r="E126">
        <v>3</v>
      </c>
      <c r="F126">
        <v>7555000</v>
      </c>
      <c r="G126">
        <v>595531.02</v>
      </c>
      <c r="H126">
        <v>311481.32</v>
      </c>
      <c r="I126">
        <v>276275.76</v>
      </c>
      <c r="J126">
        <v>25783.09</v>
      </c>
      <c r="K126">
        <v>43</v>
      </c>
      <c r="L126">
        <v>7</v>
      </c>
      <c r="M126">
        <v>79</v>
      </c>
      <c r="N126">
        <v>5</v>
      </c>
      <c r="O126">
        <v>19</v>
      </c>
      <c r="P126">
        <v>67116.23</v>
      </c>
      <c r="Q126">
        <v>109.55</v>
      </c>
      <c r="R126">
        <v>103.58</v>
      </c>
      <c r="S126">
        <v>0</v>
      </c>
      <c r="T126">
        <v>0</v>
      </c>
      <c r="U126">
        <v>1</v>
      </c>
      <c r="V126">
        <v>0</v>
      </c>
      <c r="W126">
        <v>0</v>
      </c>
      <c r="X126">
        <v>0</v>
      </c>
      <c r="Y126">
        <v>0</v>
      </c>
      <c r="Z126">
        <v>0</v>
      </c>
      <c r="AA126">
        <v>0</v>
      </c>
      <c r="AB126">
        <v>0</v>
      </c>
      <c r="AC126">
        <v>0</v>
      </c>
      <c r="AD126">
        <v>0</v>
      </c>
      <c r="AE126">
        <v>0</v>
      </c>
      <c r="AF126">
        <v>0</v>
      </c>
      <c r="AG126">
        <v>1</v>
      </c>
      <c r="AH126">
        <v>0</v>
      </c>
      <c r="AI126">
        <v>0</v>
      </c>
      <c r="AJ126">
        <v>0</v>
      </c>
      <c r="AK126">
        <v>0</v>
      </c>
      <c r="AL126">
        <v>0</v>
      </c>
      <c r="AM126">
        <v>0</v>
      </c>
      <c r="AN126">
        <v>0</v>
      </c>
      <c r="AO126">
        <v>0</v>
      </c>
      <c r="AP126">
        <v>0</v>
      </c>
    </row>
    <row r="127" spans="4:42" x14ac:dyDescent="0.45">
      <c r="D127">
        <v>2022</v>
      </c>
      <c r="E127">
        <v>3</v>
      </c>
      <c r="F127">
        <v>13972000</v>
      </c>
      <c r="G127">
        <v>1188582.52</v>
      </c>
      <c r="H127">
        <v>584093</v>
      </c>
      <c r="I127">
        <v>583004.6</v>
      </c>
      <c r="J127">
        <v>56386.26</v>
      </c>
      <c r="K127">
        <v>82</v>
      </c>
      <c r="L127">
        <v>5</v>
      </c>
      <c r="M127">
        <v>151</v>
      </c>
      <c r="N127">
        <v>5</v>
      </c>
      <c r="O127">
        <v>23</v>
      </c>
      <c r="P127">
        <v>160694.35</v>
      </c>
      <c r="Q127">
        <v>112.33</v>
      </c>
      <c r="R127">
        <v>103.43</v>
      </c>
      <c r="S127">
        <v>0</v>
      </c>
      <c r="T127">
        <v>0</v>
      </c>
      <c r="U127">
        <v>1</v>
      </c>
      <c r="V127">
        <v>0</v>
      </c>
      <c r="W127">
        <v>0</v>
      </c>
      <c r="X127">
        <v>0</v>
      </c>
      <c r="Y127">
        <v>0</v>
      </c>
      <c r="Z127">
        <v>0</v>
      </c>
      <c r="AA127">
        <v>0</v>
      </c>
      <c r="AB127">
        <v>0</v>
      </c>
      <c r="AC127">
        <v>0</v>
      </c>
      <c r="AD127">
        <v>0</v>
      </c>
      <c r="AE127">
        <v>0</v>
      </c>
      <c r="AF127">
        <v>0</v>
      </c>
      <c r="AG127">
        <v>0</v>
      </c>
      <c r="AH127">
        <v>0</v>
      </c>
      <c r="AI127">
        <v>0</v>
      </c>
      <c r="AJ127">
        <v>0</v>
      </c>
      <c r="AK127">
        <v>0</v>
      </c>
      <c r="AL127">
        <v>0</v>
      </c>
      <c r="AM127">
        <v>0</v>
      </c>
      <c r="AN127">
        <v>1</v>
      </c>
      <c r="AO127">
        <v>0</v>
      </c>
      <c r="AP127">
        <v>0</v>
      </c>
    </row>
    <row r="128" spans="4:42" x14ac:dyDescent="0.45">
      <c r="D128">
        <v>2022</v>
      </c>
      <c r="E128">
        <v>3</v>
      </c>
      <c r="F128">
        <v>22770000</v>
      </c>
      <c r="G128">
        <v>1977464.54</v>
      </c>
      <c r="H128">
        <v>1583271.25</v>
      </c>
      <c r="I128">
        <v>394510.47</v>
      </c>
      <c r="J128">
        <v>44524.95</v>
      </c>
      <c r="K128">
        <v>173</v>
      </c>
      <c r="L128">
        <v>10</v>
      </c>
      <c r="M128">
        <v>771</v>
      </c>
      <c r="N128">
        <v>10</v>
      </c>
      <c r="O128">
        <v>35</v>
      </c>
      <c r="P128">
        <v>631402.48</v>
      </c>
      <c r="Q128">
        <v>114.46</v>
      </c>
      <c r="R128">
        <v>102.79</v>
      </c>
      <c r="S128">
        <v>0</v>
      </c>
      <c r="T128">
        <v>0</v>
      </c>
      <c r="U128">
        <v>1</v>
      </c>
      <c r="V128">
        <v>0</v>
      </c>
      <c r="W128">
        <v>0</v>
      </c>
      <c r="X128">
        <v>0</v>
      </c>
      <c r="Y128">
        <v>0</v>
      </c>
      <c r="Z128">
        <v>0</v>
      </c>
      <c r="AA128">
        <v>0</v>
      </c>
      <c r="AB128">
        <v>0</v>
      </c>
      <c r="AC128">
        <v>0</v>
      </c>
      <c r="AD128">
        <v>0</v>
      </c>
      <c r="AE128">
        <v>0</v>
      </c>
      <c r="AF128">
        <v>1</v>
      </c>
      <c r="AG128">
        <v>0</v>
      </c>
      <c r="AH128">
        <v>0</v>
      </c>
      <c r="AI128">
        <v>0</v>
      </c>
      <c r="AJ128">
        <v>0</v>
      </c>
      <c r="AK128">
        <v>0</v>
      </c>
      <c r="AL128">
        <v>0</v>
      </c>
      <c r="AM128">
        <v>0</v>
      </c>
      <c r="AN128">
        <v>0</v>
      </c>
      <c r="AO128">
        <v>0</v>
      </c>
      <c r="AP128">
        <v>0</v>
      </c>
    </row>
    <row r="129" spans="4:42" x14ac:dyDescent="0.45">
      <c r="D129">
        <v>2022</v>
      </c>
      <c r="E129">
        <v>3</v>
      </c>
      <c r="F129">
        <v>4968000</v>
      </c>
      <c r="G129">
        <v>436900.73</v>
      </c>
      <c r="H129">
        <v>340169.92</v>
      </c>
      <c r="I129">
        <v>85937.88</v>
      </c>
      <c r="J129">
        <v>4889.37</v>
      </c>
      <c r="K129">
        <v>36</v>
      </c>
      <c r="L129">
        <v>4</v>
      </c>
      <c r="M129">
        <v>50</v>
      </c>
      <c r="N129">
        <v>1</v>
      </c>
      <c r="O129">
        <v>12</v>
      </c>
      <c r="P129">
        <v>16988.259999999998</v>
      </c>
      <c r="Q129">
        <v>114.8</v>
      </c>
      <c r="R129">
        <v>103.13</v>
      </c>
      <c r="S129">
        <v>0</v>
      </c>
      <c r="T129">
        <v>0</v>
      </c>
      <c r="U129">
        <v>1</v>
      </c>
      <c r="V129">
        <v>0</v>
      </c>
      <c r="W129">
        <v>0</v>
      </c>
      <c r="X129">
        <v>0</v>
      </c>
      <c r="Y129">
        <v>0</v>
      </c>
      <c r="Z129">
        <v>0</v>
      </c>
      <c r="AA129">
        <v>0</v>
      </c>
      <c r="AB129">
        <v>0</v>
      </c>
      <c r="AC129">
        <v>0</v>
      </c>
      <c r="AD129">
        <v>1</v>
      </c>
      <c r="AE129">
        <v>0</v>
      </c>
      <c r="AF129">
        <v>0</v>
      </c>
      <c r="AG129">
        <v>0</v>
      </c>
      <c r="AH129">
        <v>0</v>
      </c>
      <c r="AI129">
        <v>0</v>
      </c>
      <c r="AJ129">
        <v>0</v>
      </c>
      <c r="AK129">
        <v>0</v>
      </c>
      <c r="AL129">
        <v>0</v>
      </c>
      <c r="AM129">
        <v>0</v>
      </c>
      <c r="AN129">
        <v>0</v>
      </c>
      <c r="AO129">
        <v>0</v>
      </c>
      <c r="AP129">
        <v>0</v>
      </c>
    </row>
    <row r="130" spans="4:42" x14ac:dyDescent="0.45">
      <c r="D130">
        <v>2022</v>
      </c>
      <c r="E130">
        <v>4</v>
      </c>
      <c r="F130">
        <v>25875000</v>
      </c>
      <c r="G130">
        <v>2191830.84</v>
      </c>
      <c r="H130">
        <v>1712494.28</v>
      </c>
      <c r="I130">
        <v>462919.28</v>
      </c>
      <c r="J130">
        <v>44200.55</v>
      </c>
      <c r="K130">
        <v>213</v>
      </c>
      <c r="L130">
        <v>16</v>
      </c>
      <c r="M130">
        <v>843</v>
      </c>
      <c r="N130">
        <v>9</v>
      </c>
      <c r="O130">
        <v>33</v>
      </c>
      <c r="P130">
        <v>475919.42</v>
      </c>
      <c r="Q130">
        <v>108.21</v>
      </c>
      <c r="R130">
        <v>103.62</v>
      </c>
      <c r="S130">
        <v>0</v>
      </c>
      <c r="T130">
        <v>0</v>
      </c>
      <c r="U130">
        <v>0</v>
      </c>
      <c r="V130">
        <v>0</v>
      </c>
      <c r="W130">
        <v>1</v>
      </c>
      <c r="X130">
        <v>0</v>
      </c>
      <c r="Y130">
        <v>0</v>
      </c>
      <c r="Z130">
        <v>0</v>
      </c>
      <c r="AA130">
        <v>0</v>
      </c>
      <c r="AB130">
        <v>0</v>
      </c>
      <c r="AC130">
        <v>0</v>
      </c>
      <c r="AD130">
        <v>0</v>
      </c>
      <c r="AE130">
        <v>0</v>
      </c>
      <c r="AF130">
        <v>0</v>
      </c>
      <c r="AG130">
        <v>0</v>
      </c>
      <c r="AH130">
        <v>0</v>
      </c>
      <c r="AI130">
        <v>0</v>
      </c>
      <c r="AJ130">
        <v>0</v>
      </c>
      <c r="AK130">
        <v>0</v>
      </c>
      <c r="AL130">
        <v>0</v>
      </c>
      <c r="AM130">
        <v>1</v>
      </c>
      <c r="AN130">
        <v>0</v>
      </c>
      <c r="AO130">
        <v>0</v>
      </c>
      <c r="AP130">
        <v>0</v>
      </c>
    </row>
    <row r="131" spans="4:42" x14ac:dyDescent="0.45">
      <c r="D131">
        <v>2022</v>
      </c>
      <c r="E131">
        <v>4</v>
      </c>
      <c r="F131">
        <v>7555000</v>
      </c>
      <c r="G131">
        <v>542960.12</v>
      </c>
      <c r="H131">
        <v>323128.08</v>
      </c>
      <c r="I131">
        <v>226066.85</v>
      </c>
      <c r="J131">
        <v>20123.080000000002</v>
      </c>
      <c r="K131">
        <v>43</v>
      </c>
      <c r="L131">
        <v>3</v>
      </c>
      <c r="M131">
        <v>82</v>
      </c>
      <c r="N131">
        <v>3</v>
      </c>
      <c r="O131">
        <v>14</v>
      </c>
      <c r="P131">
        <v>68613.77</v>
      </c>
      <c r="Q131">
        <v>108.45</v>
      </c>
      <c r="R131">
        <v>103.47</v>
      </c>
      <c r="S131">
        <v>0</v>
      </c>
      <c r="T131">
        <v>0</v>
      </c>
      <c r="U131">
        <v>0</v>
      </c>
      <c r="V131">
        <v>0</v>
      </c>
      <c r="W131">
        <v>1</v>
      </c>
      <c r="X131">
        <v>0</v>
      </c>
      <c r="Y131">
        <v>0</v>
      </c>
      <c r="Z131">
        <v>0</v>
      </c>
      <c r="AA131">
        <v>0</v>
      </c>
      <c r="AB131">
        <v>0</v>
      </c>
      <c r="AC131">
        <v>0</v>
      </c>
      <c r="AD131">
        <v>0</v>
      </c>
      <c r="AE131">
        <v>0</v>
      </c>
      <c r="AF131">
        <v>0</v>
      </c>
      <c r="AG131">
        <v>1</v>
      </c>
      <c r="AH131">
        <v>0</v>
      </c>
      <c r="AI131">
        <v>0</v>
      </c>
      <c r="AJ131">
        <v>0</v>
      </c>
      <c r="AK131">
        <v>0</v>
      </c>
      <c r="AL131">
        <v>0</v>
      </c>
      <c r="AM131">
        <v>0</v>
      </c>
      <c r="AN131">
        <v>0</v>
      </c>
      <c r="AO131">
        <v>0</v>
      </c>
      <c r="AP131">
        <v>0</v>
      </c>
    </row>
    <row r="132" spans="4:42" x14ac:dyDescent="0.45">
      <c r="D132">
        <v>2022</v>
      </c>
      <c r="E132">
        <v>4</v>
      </c>
      <c r="F132">
        <v>3622000</v>
      </c>
      <c r="G132">
        <v>297135.25</v>
      </c>
      <c r="H132">
        <v>253950.17</v>
      </c>
      <c r="I132">
        <v>39133.06</v>
      </c>
      <c r="J132">
        <v>2919.94</v>
      </c>
      <c r="K132">
        <v>27</v>
      </c>
      <c r="L132">
        <v>0</v>
      </c>
      <c r="M132">
        <v>21</v>
      </c>
      <c r="N132">
        <v>1</v>
      </c>
      <c r="O132">
        <v>10</v>
      </c>
      <c r="P132">
        <v>12918.83</v>
      </c>
      <c r="Q132">
        <v>111.96</v>
      </c>
      <c r="R132">
        <v>102.96</v>
      </c>
      <c r="S132">
        <v>0</v>
      </c>
      <c r="T132">
        <v>0</v>
      </c>
      <c r="U132">
        <v>0</v>
      </c>
      <c r="V132">
        <v>0</v>
      </c>
      <c r="W132">
        <v>1</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row>
    <row r="133" spans="4:42" x14ac:dyDescent="0.45">
      <c r="D133">
        <v>2022</v>
      </c>
      <c r="E133">
        <v>4</v>
      </c>
      <c r="F133">
        <v>6417000</v>
      </c>
      <c r="G133">
        <v>476628.03</v>
      </c>
      <c r="H133">
        <v>250788.64</v>
      </c>
      <c r="I133">
        <v>211442.48</v>
      </c>
      <c r="J133">
        <v>27457.5</v>
      </c>
      <c r="K133">
        <v>30</v>
      </c>
      <c r="L133">
        <v>2</v>
      </c>
      <c r="M133">
        <v>29</v>
      </c>
      <c r="N133">
        <v>3</v>
      </c>
      <c r="O133">
        <v>14</v>
      </c>
      <c r="P133">
        <v>41413.25</v>
      </c>
      <c r="Q133">
        <v>111.34</v>
      </c>
      <c r="R133">
        <v>104.09</v>
      </c>
      <c r="S133">
        <v>0</v>
      </c>
      <c r="T133">
        <v>0</v>
      </c>
      <c r="U133">
        <v>0</v>
      </c>
      <c r="V133">
        <v>0</v>
      </c>
      <c r="W133">
        <v>1</v>
      </c>
      <c r="X133">
        <v>0</v>
      </c>
      <c r="Y133">
        <v>0</v>
      </c>
      <c r="Z133">
        <v>0</v>
      </c>
      <c r="AA133">
        <v>0</v>
      </c>
      <c r="AB133">
        <v>0</v>
      </c>
      <c r="AC133">
        <v>0</v>
      </c>
      <c r="AD133">
        <v>0</v>
      </c>
      <c r="AE133">
        <v>0</v>
      </c>
      <c r="AF133">
        <v>0</v>
      </c>
      <c r="AG133">
        <v>0</v>
      </c>
      <c r="AH133">
        <v>1</v>
      </c>
      <c r="AI133">
        <v>0</v>
      </c>
      <c r="AJ133">
        <v>0</v>
      </c>
      <c r="AK133">
        <v>0</v>
      </c>
      <c r="AL133">
        <v>0</v>
      </c>
      <c r="AM133">
        <v>0</v>
      </c>
      <c r="AN133">
        <v>0</v>
      </c>
      <c r="AO133">
        <v>0</v>
      </c>
      <c r="AP133">
        <v>0</v>
      </c>
    </row>
    <row r="134" spans="4:42" x14ac:dyDescent="0.45">
      <c r="D134">
        <v>2022</v>
      </c>
      <c r="E134">
        <v>4</v>
      </c>
      <c r="F134">
        <v>4968000</v>
      </c>
      <c r="G134">
        <v>413891.48</v>
      </c>
      <c r="H134">
        <v>354012.15</v>
      </c>
      <c r="I134">
        <v>54097.69</v>
      </c>
      <c r="J134">
        <v>4084.36</v>
      </c>
      <c r="K134">
        <v>36</v>
      </c>
      <c r="L134">
        <v>5</v>
      </c>
      <c r="M134">
        <v>10</v>
      </c>
      <c r="N134">
        <v>2</v>
      </c>
      <c r="O134">
        <v>12</v>
      </c>
      <c r="P134">
        <v>23383.23</v>
      </c>
      <c r="Q134">
        <v>111</v>
      </c>
      <c r="R134">
        <v>103.53</v>
      </c>
      <c r="S134">
        <v>0</v>
      </c>
      <c r="T134">
        <v>0</v>
      </c>
      <c r="U134">
        <v>0</v>
      </c>
      <c r="V134">
        <v>0</v>
      </c>
      <c r="W134">
        <v>1</v>
      </c>
      <c r="X134">
        <v>0</v>
      </c>
      <c r="Y134">
        <v>0</v>
      </c>
      <c r="Z134">
        <v>0</v>
      </c>
      <c r="AA134">
        <v>0</v>
      </c>
      <c r="AB134">
        <v>0</v>
      </c>
      <c r="AC134">
        <v>0</v>
      </c>
      <c r="AD134">
        <v>1</v>
      </c>
      <c r="AE134">
        <v>0</v>
      </c>
      <c r="AF134">
        <v>0</v>
      </c>
      <c r="AG134">
        <v>0</v>
      </c>
      <c r="AH134">
        <v>0</v>
      </c>
      <c r="AI134">
        <v>0</v>
      </c>
      <c r="AJ134">
        <v>0</v>
      </c>
      <c r="AK134">
        <v>0</v>
      </c>
      <c r="AL134">
        <v>0</v>
      </c>
      <c r="AM134">
        <v>0</v>
      </c>
      <c r="AN134">
        <v>0</v>
      </c>
      <c r="AO134">
        <v>0</v>
      </c>
      <c r="AP134">
        <v>0</v>
      </c>
    </row>
    <row r="135" spans="4:42" x14ac:dyDescent="0.45">
      <c r="D135">
        <v>2022</v>
      </c>
      <c r="E135">
        <v>4</v>
      </c>
      <c r="F135">
        <v>19665000</v>
      </c>
      <c r="G135">
        <v>1593146.56</v>
      </c>
      <c r="H135">
        <v>760858.89</v>
      </c>
      <c r="I135">
        <v>724609.16</v>
      </c>
      <c r="J135">
        <v>133649.41</v>
      </c>
      <c r="K135">
        <v>97</v>
      </c>
      <c r="L135">
        <v>1</v>
      </c>
      <c r="M135">
        <v>315</v>
      </c>
      <c r="N135">
        <v>7</v>
      </c>
      <c r="O135">
        <v>32</v>
      </c>
      <c r="P135">
        <v>307097.5</v>
      </c>
      <c r="Q135">
        <v>113.6</v>
      </c>
      <c r="R135">
        <v>103.66</v>
      </c>
      <c r="S135">
        <v>0</v>
      </c>
      <c r="T135">
        <v>0</v>
      </c>
      <c r="U135">
        <v>0</v>
      </c>
      <c r="V135">
        <v>0</v>
      </c>
      <c r="W135">
        <v>1</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1</v>
      </c>
    </row>
    <row r="136" spans="4:42" x14ac:dyDescent="0.45">
      <c r="D136">
        <v>2022</v>
      </c>
      <c r="E136">
        <v>4</v>
      </c>
      <c r="F136">
        <v>22770000</v>
      </c>
      <c r="G136">
        <v>1835147.77</v>
      </c>
      <c r="H136">
        <v>1565826.78</v>
      </c>
      <c r="I136">
        <v>371775.64</v>
      </c>
      <c r="J136">
        <v>18492.689999999999</v>
      </c>
      <c r="K136">
        <v>176</v>
      </c>
      <c r="L136">
        <v>10</v>
      </c>
      <c r="M136">
        <v>577</v>
      </c>
      <c r="N136">
        <v>9</v>
      </c>
      <c r="O136">
        <v>30</v>
      </c>
      <c r="P136">
        <v>441327.15</v>
      </c>
      <c r="Q136">
        <v>112.02</v>
      </c>
      <c r="R136">
        <v>102.96</v>
      </c>
      <c r="S136">
        <v>0</v>
      </c>
      <c r="T136">
        <v>0</v>
      </c>
      <c r="U136">
        <v>0</v>
      </c>
      <c r="V136">
        <v>0</v>
      </c>
      <c r="W136">
        <v>1</v>
      </c>
      <c r="X136">
        <v>0</v>
      </c>
      <c r="Y136">
        <v>0</v>
      </c>
      <c r="Z136">
        <v>0</v>
      </c>
      <c r="AA136">
        <v>0</v>
      </c>
      <c r="AB136">
        <v>0</v>
      </c>
      <c r="AC136">
        <v>0</v>
      </c>
      <c r="AD136">
        <v>0</v>
      </c>
      <c r="AE136">
        <v>0</v>
      </c>
      <c r="AF136">
        <v>1</v>
      </c>
      <c r="AG136">
        <v>0</v>
      </c>
      <c r="AH136">
        <v>0</v>
      </c>
      <c r="AI136">
        <v>0</v>
      </c>
      <c r="AJ136">
        <v>0</v>
      </c>
      <c r="AK136">
        <v>0</v>
      </c>
      <c r="AL136">
        <v>0</v>
      </c>
      <c r="AM136">
        <v>0</v>
      </c>
      <c r="AN136">
        <v>0</v>
      </c>
      <c r="AO136">
        <v>0</v>
      </c>
      <c r="AP136">
        <v>0</v>
      </c>
    </row>
    <row r="137" spans="4:42" x14ac:dyDescent="0.45">
      <c r="D137">
        <v>2022</v>
      </c>
      <c r="E137">
        <v>4</v>
      </c>
      <c r="F137">
        <v>8280000</v>
      </c>
      <c r="G137">
        <v>874118.43</v>
      </c>
      <c r="H137">
        <v>441675.21</v>
      </c>
      <c r="I137">
        <v>215720.7</v>
      </c>
      <c r="J137">
        <v>171843.56</v>
      </c>
      <c r="K137">
        <v>63</v>
      </c>
      <c r="L137">
        <v>2</v>
      </c>
      <c r="M137">
        <v>74</v>
      </c>
      <c r="N137">
        <v>3</v>
      </c>
      <c r="O137">
        <v>14</v>
      </c>
      <c r="P137">
        <v>74374.3</v>
      </c>
      <c r="Q137">
        <v>112.01</v>
      </c>
      <c r="R137">
        <v>103.02</v>
      </c>
      <c r="S137">
        <v>0</v>
      </c>
      <c r="T137">
        <v>0</v>
      </c>
      <c r="U137">
        <v>0</v>
      </c>
      <c r="V137">
        <v>0</v>
      </c>
      <c r="W137">
        <v>1</v>
      </c>
      <c r="X137">
        <v>0</v>
      </c>
      <c r="Y137">
        <v>0</v>
      </c>
      <c r="Z137">
        <v>0</v>
      </c>
      <c r="AA137">
        <v>0</v>
      </c>
      <c r="AB137">
        <v>0</v>
      </c>
      <c r="AC137">
        <v>0</v>
      </c>
      <c r="AD137">
        <v>0</v>
      </c>
      <c r="AE137">
        <v>0</v>
      </c>
      <c r="AF137">
        <v>0</v>
      </c>
      <c r="AG137">
        <v>0</v>
      </c>
      <c r="AH137">
        <v>0</v>
      </c>
      <c r="AI137">
        <v>0</v>
      </c>
      <c r="AJ137">
        <v>1</v>
      </c>
      <c r="AK137">
        <v>0</v>
      </c>
      <c r="AL137">
        <v>0</v>
      </c>
      <c r="AM137">
        <v>0</v>
      </c>
      <c r="AN137">
        <v>0</v>
      </c>
      <c r="AO137">
        <v>0</v>
      </c>
      <c r="AP137">
        <v>0</v>
      </c>
    </row>
    <row r="138" spans="4:42" x14ac:dyDescent="0.45">
      <c r="D138">
        <v>2022</v>
      </c>
      <c r="E138">
        <v>4</v>
      </c>
      <c r="F138">
        <v>13972000</v>
      </c>
      <c r="G138">
        <v>1298905.8</v>
      </c>
      <c r="H138">
        <v>567753.78</v>
      </c>
      <c r="I138">
        <v>518872.44</v>
      </c>
      <c r="J138">
        <v>220884.73</v>
      </c>
      <c r="K138">
        <v>81</v>
      </c>
      <c r="L138">
        <v>10</v>
      </c>
      <c r="M138">
        <v>73</v>
      </c>
      <c r="N138">
        <v>4</v>
      </c>
      <c r="O138">
        <v>25</v>
      </c>
      <c r="P138">
        <v>117263.54</v>
      </c>
      <c r="Q138">
        <v>108.96</v>
      </c>
      <c r="R138">
        <v>104.17</v>
      </c>
      <c r="S138">
        <v>0</v>
      </c>
      <c r="T138">
        <v>0</v>
      </c>
      <c r="U138">
        <v>0</v>
      </c>
      <c r="V138">
        <v>0</v>
      </c>
      <c r="W138">
        <v>1</v>
      </c>
      <c r="X138">
        <v>0</v>
      </c>
      <c r="Y138">
        <v>0</v>
      </c>
      <c r="Z138">
        <v>0</v>
      </c>
      <c r="AA138">
        <v>0</v>
      </c>
      <c r="AB138">
        <v>0</v>
      </c>
      <c r="AC138">
        <v>0</v>
      </c>
      <c r="AD138">
        <v>0</v>
      </c>
      <c r="AE138">
        <v>0</v>
      </c>
      <c r="AF138">
        <v>0</v>
      </c>
      <c r="AG138">
        <v>0</v>
      </c>
      <c r="AH138">
        <v>0</v>
      </c>
      <c r="AI138">
        <v>0</v>
      </c>
      <c r="AJ138">
        <v>0</v>
      </c>
      <c r="AK138">
        <v>0</v>
      </c>
      <c r="AL138">
        <v>0</v>
      </c>
      <c r="AM138">
        <v>0</v>
      </c>
      <c r="AN138">
        <v>1</v>
      </c>
      <c r="AO138">
        <v>0</v>
      </c>
      <c r="AP138">
        <v>0</v>
      </c>
    </row>
    <row r="139" spans="4:42" x14ac:dyDescent="0.45">
      <c r="D139">
        <v>2022</v>
      </c>
      <c r="E139">
        <v>4</v>
      </c>
      <c r="F139">
        <v>4347000</v>
      </c>
      <c r="G139">
        <v>359758.65</v>
      </c>
      <c r="H139">
        <v>302034.40999999997</v>
      </c>
      <c r="I139">
        <v>54739.45</v>
      </c>
      <c r="J139">
        <v>5696.33</v>
      </c>
      <c r="K139">
        <v>33</v>
      </c>
      <c r="L139">
        <v>6</v>
      </c>
      <c r="M139">
        <v>64</v>
      </c>
      <c r="N139">
        <v>3</v>
      </c>
      <c r="O139">
        <v>14</v>
      </c>
      <c r="P139">
        <v>28185.86</v>
      </c>
      <c r="Q139">
        <v>109.19</v>
      </c>
      <c r="R139">
        <v>103.73</v>
      </c>
      <c r="S139">
        <v>0</v>
      </c>
      <c r="T139">
        <v>0</v>
      </c>
      <c r="U139">
        <v>0</v>
      </c>
      <c r="V139">
        <v>0</v>
      </c>
      <c r="W139">
        <v>1</v>
      </c>
      <c r="X139">
        <v>0</v>
      </c>
      <c r="Y139">
        <v>0</v>
      </c>
      <c r="Z139">
        <v>0</v>
      </c>
      <c r="AA139">
        <v>0</v>
      </c>
      <c r="AB139">
        <v>0</v>
      </c>
      <c r="AC139">
        <v>0</v>
      </c>
      <c r="AD139">
        <v>0</v>
      </c>
      <c r="AE139">
        <v>0</v>
      </c>
      <c r="AF139">
        <v>0</v>
      </c>
      <c r="AG139">
        <v>0</v>
      </c>
      <c r="AH139">
        <v>0</v>
      </c>
      <c r="AI139">
        <v>0</v>
      </c>
      <c r="AJ139">
        <v>0</v>
      </c>
      <c r="AK139">
        <v>0</v>
      </c>
      <c r="AL139">
        <v>1</v>
      </c>
      <c r="AM139">
        <v>0</v>
      </c>
      <c r="AN139">
        <v>0</v>
      </c>
      <c r="AO139">
        <v>0</v>
      </c>
      <c r="AP139">
        <v>0</v>
      </c>
    </row>
    <row r="140" spans="4:42" x14ac:dyDescent="0.45">
      <c r="D140">
        <v>2022</v>
      </c>
      <c r="E140">
        <v>5</v>
      </c>
      <c r="F140">
        <v>7555000</v>
      </c>
      <c r="G140">
        <v>561052.18000000005</v>
      </c>
      <c r="H140">
        <v>328737.86</v>
      </c>
      <c r="I140">
        <v>214478.73</v>
      </c>
      <c r="J140">
        <v>14396.54</v>
      </c>
      <c r="K140">
        <v>43</v>
      </c>
      <c r="L140">
        <v>5</v>
      </c>
      <c r="M140">
        <v>54</v>
      </c>
      <c r="N140">
        <v>4</v>
      </c>
      <c r="O140">
        <v>12</v>
      </c>
      <c r="P140">
        <v>174335</v>
      </c>
      <c r="Q140">
        <v>111.33</v>
      </c>
      <c r="R140">
        <v>104.35</v>
      </c>
      <c r="S140">
        <v>0</v>
      </c>
      <c r="T140">
        <v>0</v>
      </c>
      <c r="U140">
        <v>0</v>
      </c>
      <c r="V140">
        <v>1</v>
      </c>
      <c r="W140">
        <v>0</v>
      </c>
      <c r="X140">
        <v>0</v>
      </c>
      <c r="Y140">
        <v>0</v>
      </c>
      <c r="Z140">
        <v>0</v>
      </c>
      <c r="AA140">
        <v>0</v>
      </c>
      <c r="AB140">
        <v>0</v>
      </c>
      <c r="AC140">
        <v>0</v>
      </c>
      <c r="AD140">
        <v>0</v>
      </c>
      <c r="AE140">
        <v>0</v>
      </c>
      <c r="AF140">
        <v>0</v>
      </c>
      <c r="AG140">
        <v>1</v>
      </c>
      <c r="AH140">
        <v>0</v>
      </c>
      <c r="AI140">
        <v>0</v>
      </c>
      <c r="AJ140">
        <v>0</v>
      </c>
      <c r="AK140">
        <v>0</v>
      </c>
      <c r="AL140">
        <v>0</v>
      </c>
      <c r="AM140">
        <v>0</v>
      </c>
      <c r="AN140">
        <v>0</v>
      </c>
      <c r="AO140">
        <v>0</v>
      </c>
      <c r="AP140">
        <v>0</v>
      </c>
    </row>
    <row r="141" spans="4:42" x14ac:dyDescent="0.45">
      <c r="D141">
        <v>2022</v>
      </c>
      <c r="E141">
        <v>5</v>
      </c>
      <c r="F141">
        <v>25875000</v>
      </c>
      <c r="G141">
        <v>2132822.38</v>
      </c>
      <c r="H141">
        <v>1644822.8</v>
      </c>
      <c r="I141">
        <v>402505.09</v>
      </c>
      <c r="J141">
        <v>34061.06</v>
      </c>
      <c r="K141">
        <v>207</v>
      </c>
      <c r="L141">
        <v>15</v>
      </c>
      <c r="M141">
        <v>910</v>
      </c>
      <c r="N141">
        <v>6</v>
      </c>
      <c r="O141">
        <v>29</v>
      </c>
      <c r="P141">
        <v>452843.4</v>
      </c>
      <c r="Q141">
        <v>108.91</v>
      </c>
      <c r="R141">
        <v>104.79</v>
      </c>
      <c r="S141">
        <v>0</v>
      </c>
      <c r="T141">
        <v>0</v>
      </c>
      <c r="U141">
        <v>0</v>
      </c>
      <c r="V141">
        <v>1</v>
      </c>
      <c r="W141">
        <v>0</v>
      </c>
      <c r="X141">
        <v>0</v>
      </c>
      <c r="Y141">
        <v>0</v>
      </c>
      <c r="Z141">
        <v>0</v>
      </c>
      <c r="AA141">
        <v>0</v>
      </c>
      <c r="AB141">
        <v>0</v>
      </c>
      <c r="AC141">
        <v>0</v>
      </c>
      <c r="AD141">
        <v>0</v>
      </c>
      <c r="AE141">
        <v>0</v>
      </c>
      <c r="AF141">
        <v>0</v>
      </c>
      <c r="AG141">
        <v>0</v>
      </c>
      <c r="AH141">
        <v>0</v>
      </c>
      <c r="AI141">
        <v>0</v>
      </c>
      <c r="AJ141">
        <v>0</v>
      </c>
      <c r="AK141">
        <v>0</v>
      </c>
      <c r="AL141">
        <v>0</v>
      </c>
      <c r="AM141">
        <v>1</v>
      </c>
      <c r="AN141">
        <v>0</v>
      </c>
      <c r="AO141">
        <v>0</v>
      </c>
      <c r="AP141">
        <v>0</v>
      </c>
    </row>
    <row r="142" spans="4:42" x14ac:dyDescent="0.45">
      <c r="D142">
        <v>2022</v>
      </c>
      <c r="E142">
        <v>5</v>
      </c>
      <c r="F142">
        <v>6417000</v>
      </c>
      <c r="G142">
        <v>466927.79</v>
      </c>
      <c r="H142">
        <v>255011.4</v>
      </c>
      <c r="I142">
        <v>197197.74</v>
      </c>
      <c r="J142">
        <v>18437.919999999998</v>
      </c>
      <c r="K142">
        <v>29</v>
      </c>
      <c r="L142">
        <v>1</v>
      </c>
      <c r="M142">
        <v>45</v>
      </c>
      <c r="N142">
        <v>1</v>
      </c>
      <c r="O142">
        <v>13</v>
      </c>
      <c r="P142">
        <v>21044.58</v>
      </c>
      <c r="Q142">
        <v>110.57</v>
      </c>
      <c r="R142">
        <v>104.42</v>
      </c>
      <c r="S142">
        <v>0</v>
      </c>
      <c r="T142">
        <v>0</v>
      </c>
      <c r="U142">
        <v>0</v>
      </c>
      <c r="V142">
        <v>1</v>
      </c>
      <c r="W142">
        <v>0</v>
      </c>
      <c r="X142">
        <v>0</v>
      </c>
      <c r="Y142">
        <v>0</v>
      </c>
      <c r="Z142">
        <v>0</v>
      </c>
      <c r="AA142">
        <v>0</v>
      </c>
      <c r="AB142">
        <v>0</v>
      </c>
      <c r="AC142">
        <v>0</v>
      </c>
      <c r="AD142">
        <v>0</v>
      </c>
      <c r="AE142">
        <v>0</v>
      </c>
      <c r="AF142">
        <v>0</v>
      </c>
      <c r="AG142">
        <v>0</v>
      </c>
      <c r="AH142">
        <v>1</v>
      </c>
      <c r="AI142">
        <v>0</v>
      </c>
      <c r="AJ142">
        <v>0</v>
      </c>
      <c r="AK142">
        <v>0</v>
      </c>
      <c r="AL142">
        <v>0</v>
      </c>
      <c r="AM142">
        <v>0</v>
      </c>
      <c r="AN142">
        <v>0</v>
      </c>
      <c r="AO142">
        <v>0</v>
      </c>
      <c r="AP142">
        <v>0</v>
      </c>
    </row>
    <row r="143" spans="4:42" x14ac:dyDescent="0.45">
      <c r="D143">
        <v>2022</v>
      </c>
      <c r="E143">
        <v>5</v>
      </c>
      <c r="F143">
        <v>3622000</v>
      </c>
      <c r="G143">
        <v>300979.25</v>
      </c>
      <c r="H143">
        <v>255909.86</v>
      </c>
      <c r="I143">
        <v>38189.24</v>
      </c>
      <c r="J143">
        <v>4256.04</v>
      </c>
      <c r="K143">
        <v>27</v>
      </c>
      <c r="L143">
        <v>1</v>
      </c>
      <c r="M143">
        <v>42</v>
      </c>
      <c r="N143">
        <v>4</v>
      </c>
      <c r="O143">
        <v>12</v>
      </c>
      <c r="P143">
        <v>25349.31</v>
      </c>
      <c r="Q143">
        <v>112.13</v>
      </c>
      <c r="R143">
        <v>103.77</v>
      </c>
      <c r="S143">
        <v>0</v>
      </c>
      <c r="T143">
        <v>0</v>
      </c>
      <c r="U143">
        <v>0</v>
      </c>
      <c r="V143">
        <v>1</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row>
    <row r="144" spans="4:42" x14ac:dyDescent="0.45">
      <c r="D144">
        <v>2022</v>
      </c>
      <c r="E144">
        <v>5</v>
      </c>
      <c r="F144">
        <v>4347000</v>
      </c>
      <c r="G144">
        <v>362568.78</v>
      </c>
      <c r="H144">
        <v>298966.14</v>
      </c>
      <c r="I144">
        <v>55730.15</v>
      </c>
      <c r="J144">
        <v>2626.72</v>
      </c>
      <c r="K144">
        <v>33</v>
      </c>
      <c r="L144">
        <v>2</v>
      </c>
      <c r="M144">
        <v>37</v>
      </c>
      <c r="N144">
        <v>0</v>
      </c>
      <c r="O144">
        <v>10</v>
      </c>
      <c r="P144">
        <v>5928.62</v>
      </c>
      <c r="Q144">
        <v>109.82</v>
      </c>
      <c r="R144">
        <v>103.52</v>
      </c>
      <c r="S144">
        <v>0</v>
      </c>
      <c r="T144">
        <v>0</v>
      </c>
      <c r="U144">
        <v>0</v>
      </c>
      <c r="V144">
        <v>1</v>
      </c>
      <c r="W144">
        <v>0</v>
      </c>
      <c r="X144">
        <v>0</v>
      </c>
      <c r="Y144">
        <v>0</v>
      </c>
      <c r="Z144">
        <v>0</v>
      </c>
      <c r="AA144">
        <v>0</v>
      </c>
      <c r="AB144">
        <v>0</v>
      </c>
      <c r="AC144">
        <v>0</v>
      </c>
      <c r="AD144">
        <v>0</v>
      </c>
      <c r="AE144">
        <v>0</v>
      </c>
      <c r="AF144">
        <v>0</v>
      </c>
      <c r="AG144">
        <v>0</v>
      </c>
      <c r="AH144">
        <v>0</v>
      </c>
      <c r="AI144">
        <v>0</v>
      </c>
      <c r="AJ144">
        <v>0</v>
      </c>
      <c r="AK144">
        <v>0</v>
      </c>
      <c r="AL144">
        <v>1</v>
      </c>
      <c r="AM144">
        <v>0</v>
      </c>
      <c r="AN144">
        <v>0</v>
      </c>
      <c r="AO144">
        <v>0</v>
      </c>
      <c r="AP144">
        <v>0</v>
      </c>
    </row>
    <row r="145" spans="4:42" x14ac:dyDescent="0.45">
      <c r="D145">
        <v>2022</v>
      </c>
      <c r="E145">
        <v>5</v>
      </c>
      <c r="F145">
        <v>22770000</v>
      </c>
      <c r="G145">
        <v>1903467.54</v>
      </c>
      <c r="H145">
        <v>1598828.65</v>
      </c>
      <c r="I145">
        <v>363064.78</v>
      </c>
      <c r="J145">
        <v>38647.11</v>
      </c>
      <c r="K145">
        <v>180</v>
      </c>
      <c r="L145">
        <v>9</v>
      </c>
      <c r="M145">
        <v>851</v>
      </c>
      <c r="N145">
        <v>8</v>
      </c>
      <c r="O145">
        <v>33</v>
      </c>
      <c r="P145">
        <v>549569.73</v>
      </c>
      <c r="Q145">
        <v>112.04</v>
      </c>
      <c r="R145">
        <v>102.9</v>
      </c>
      <c r="S145">
        <v>0</v>
      </c>
      <c r="T145">
        <v>0</v>
      </c>
      <c r="U145">
        <v>0</v>
      </c>
      <c r="V145">
        <v>1</v>
      </c>
      <c r="W145">
        <v>0</v>
      </c>
      <c r="X145">
        <v>0</v>
      </c>
      <c r="Y145">
        <v>0</v>
      </c>
      <c r="Z145">
        <v>0</v>
      </c>
      <c r="AA145">
        <v>0</v>
      </c>
      <c r="AB145">
        <v>0</v>
      </c>
      <c r="AC145">
        <v>0</v>
      </c>
      <c r="AD145">
        <v>0</v>
      </c>
      <c r="AE145">
        <v>1</v>
      </c>
      <c r="AF145">
        <v>0</v>
      </c>
      <c r="AG145">
        <v>0</v>
      </c>
      <c r="AH145">
        <v>0</v>
      </c>
      <c r="AI145">
        <v>0</v>
      </c>
      <c r="AJ145">
        <v>0</v>
      </c>
      <c r="AK145">
        <v>0</v>
      </c>
      <c r="AL145">
        <v>0</v>
      </c>
      <c r="AM145">
        <v>0</v>
      </c>
      <c r="AN145">
        <v>0</v>
      </c>
      <c r="AO145">
        <v>0</v>
      </c>
      <c r="AP145">
        <v>0</v>
      </c>
    </row>
    <row r="146" spans="4:42" x14ac:dyDescent="0.45">
      <c r="D146">
        <v>2022</v>
      </c>
      <c r="E146">
        <v>5</v>
      </c>
      <c r="F146">
        <v>8280000</v>
      </c>
      <c r="G146">
        <v>689244.43</v>
      </c>
      <c r="H146">
        <v>426245.52</v>
      </c>
      <c r="I146">
        <v>203443.45</v>
      </c>
      <c r="J146">
        <v>35621.32</v>
      </c>
      <c r="K146">
        <v>63</v>
      </c>
      <c r="L146">
        <v>7</v>
      </c>
      <c r="M146">
        <v>75</v>
      </c>
      <c r="N146">
        <v>4</v>
      </c>
      <c r="O146">
        <v>17</v>
      </c>
      <c r="P146">
        <v>60513.48</v>
      </c>
      <c r="Q146">
        <v>114.55</v>
      </c>
      <c r="R146">
        <v>103.75</v>
      </c>
      <c r="S146">
        <v>0</v>
      </c>
      <c r="T146">
        <v>0</v>
      </c>
      <c r="U146">
        <v>0</v>
      </c>
      <c r="V146">
        <v>1</v>
      </c>
      <c r="W146">
        <v>0</v>
      </c>
      <c r="X146">
        <v>0</v>
      </c>
      <c r="Y146">
        <v>0</v>
      </c>
      <c r="Z146">
        <v>0</v>
      </c>
      <c r="AA146">
        <v>0</v>
      </c>
      <c r="AB146">
        <v>0</v>
      </c>
      <c r="AC146">
        <v>0</v>
      </c>
      <c r="AD146">
        <v>0</v>
      </c>
      <c r="AE146">
        <v>0</v>
      </c>
      <c r="AF146">
        <v>0</v>
      </c>
      <c r="AG146">
        <v>0</v>
      </c>
      <c r="AH146">
        <v>0</v>
      </c>
      <c r="AI146">
        <v>0</v>
      </c>
      <c r="AJ146">
        <v>1</v>
      </c>
      <c r="AK146">
        <v>0</v>
      </c>
      <c r="AL146">
        <v>0</v>
      </c>
      <c r="AM146">
        <v>0</v>
      </c>
      <c r="AN146">
        <v>0</v>
      </c>
      <c r="AO146">
        <v>0</v>
      </c>
      <c r="AP146">
        <v>0</v>
      </c>
    </row>
    <row r="147" spans="4:42" x14ac:dyDescent="0.45">
      <c r="D147">
        <v>2022</v>
      </c>
      <c r="E147">
        <v>5</v>
      </c>
      <c r="F147">
        <v>13972000</v>
      </c>
      <c r="G147">
        <v>1214130.3400000001</v>
      </c>
      <c r="H147">
        <v>557249.07999999996</v>
      </c>
      <c r="I147">
        <v>474320.04</v>
      </c>
      <c r="J147">
        <v>218765.7</v>
      </c>
      <c r="K147">
        <v>79</v>
      </c>
      <c r="L147">
        <v>6</v>
      </c>
      <c r="M147">
        <v>103</v>
      </c>
      <c r="N147">
        <v>5</v>
      </c>
      <c r="O147">
        <v>21</v>
      </c>
      <c r="P147">
        <v>172747.55</v>
      </c>
      <c r="Q147">
        <v>111.05</v>
      </c>
      <c r="R147">
        <v>103.67</v>
      </c>
      <c r="S147">
        <v>0</v>
      </c>
      <c r="T147">
        <v>0</v>
      </c>
      <c r="U147">
        <v>0</v>
      </c>
      <c r="V147">
        <v>1</v>
      </c>
      <c r="W147">
        <v>0</v>
      </c>
      <c r="X147">
        <v>0</v>
      </c>
      <c r="Y147">
        <v>0</v>
      </c>
      <c r="Z147">
        <v>0</v>
      </c>
      <c r="AA147">
        <v>0</v>
      </c>
      <c r="AB147">
        <v>0</v>
      </c>
      <c r="AC147">
        <v>0</v>
      </c>
      <c r="AD147">
        <v>0</v>
      </c>
      <c r="AE147">
        <v>0</v>
      </c>
      <c r="AF147">
        <v>0</v>
      </c>
      <c r="AG147">
        <v>0</v>
      </c>
      <c r="AH147">
        <v>0</v>
      </c>
      <c r="AI147">
        <v>0</v>
      </c>
      <c r="AJ147">
        <v>0</v>
      </c>
      <c r="AK147">
        <v>0</v>
      </c>
      <c r="AL147">
        <v>0</v>
      </c>
      <c r="AM147">
        <v>0</v>
      </c>
      <c r="AN147">
        <v>1</v>
      </c>
      <c r="AO147">
        <v>0</v>
      </c>
      <c r="AP147">
        <v>0</v>
      </c>
    </row>
    <row r="148" spans="4:42" x14ac:dyDescent="0.45">
      <c r="D148">
        <v>2022</v>
      </c>
      <c r="E148">
        <v>5</v>
      </c>
      <c r="F148">
        <v>19665000</v>
      </c>
      <c r="G148">
        <v>1362047.73</v>
      </c>
      <c r="H148">
        <v>704316.7</v>
      </c>
      <c r="I148">
        <v>749884.8</v>
      </c>
      <c r="J148">
        <v>34595.93</v>
      </c>
      <c r="K148">
        <v>93</v>
      </c>
      <c r="L148">
        <v>6</v>
      </c>
      <c r="M148">
        <v>364</v>
      </c>
      <c r="N148">
        <v>5</v>
      </c>
      <c r="O148">
        <v>21</v>
      </c>
      <c r="P148">
        <v>270593.21999999997</v>
      </c>
      <c r="Q148">
        <v>109.03</v>
      </c>
      <c r="R148">
        <v>104.15</v>
      </c>
      <c r="S148">
        <v>0</v>
      </c>
      <c r="T148">
        <v>0</v>
      </c>
      <c r="U148">
        <v>0</v>
      </c>
      <c r="V148">
        <v>1</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1</v>
      </c>
    </row>
    <row r="149" spans="4:42" x14ac:dyDescent="0.45">
      <c r="D149">
        <v>2022</v>
      </c>
      <c r="E149">
        <v>5</v>
      </c>
      <c r="F149">
        <v>4968000</v>
      </c>
      <c r="G149">
        <v>388823.49</v>
      </c>
      <c r="H149">
        <v>319256.46999999997</v>
      </c>
      <c r="I149">
        <v>58459.12</v>
      </c>
      <c r="J149">
        <v>7881.27</v>
      </c>
      <c r="K149">
        <v>35</v>
      </c>
      <c r="L149">
        <v>6</v>
      </c>
      <c r="M149">
        <v>11</v>
      </c>
      <c r="N149">
        <v>2</v>
      </c>
      <c r="O149">
        <v>15</v>
      </c>
      <c r="P149">
        <v>33368.97</v>
      </c>
      <c r="Q149">
        <v>111.89</v>
      </c>
      <c r="R149">
        <v>103.64</v>
      </c>
      <c r="S149">
        <v>0</v>
      </c>
      <c r="T149">
        <v>0</v>
      </c>
      <c r="U149">
        <v>0</v>
      </c>
      <c r="V149">
        <v>1</v>
      </c>
      <c r="W149">
        <v>0</v>
      </c>
      <c r="X149">
        <v>0</v>
      </c>
      <c r="Y149">
        <v>0</v>
      </c>
      <c r="Z149">
        <v>0</v>
      </c>
      <c r="AA149">
        <v>0</v>
      </c>
      <c r="AB149">
        <v>0</v>
      </c>
      <c r="AC149">
        <v>0</v>
      </c>
      <c r="AD149">
        <v>1</v>
      </c>
      <c r="AE149">
        <v>0</v>
      </c>
      <c r="AF149">
        <v>0</v>
      </c>
      <c r="AG149">
        <v>0</v>
      </c>
      <c r="AH149">
        <v>0</v>
      </c>
      <c r="AI149">
        <v>0</v>
      </c>
      <c r="AJ149">
        <v>0</v>
      </c>
      <c r="AK149">
        <v>0</v>
      </c>
      <c r="AL149">
        <v>0</v>
      </c>
      <c r="AM149">
        <v>0</v>
      </c>
      <c r="AN149">
        <v>0</v>
      </c>
      <c r="AO149">
        <v>0</v>
      </c>
      <c r="AP149">
        <v>0</v>
      </c>
    </row>
    <row r="150" spans="4:42" x14ac:dyDescent="0.45">
      <c r="D150">
        <v>2022</v>
      </c>
      <c r="E150">
        <v>6</v>
      </c>
      <c r="F150">
        <v>13972000</v>
      </c>
      <c r="G150">
        <v>1091593.56</v>
      </c>
      <c r="H150">
        <v>555445.9</v>
      </c>
      <c r="I150">
        <v>534650.13</v>
      </c>
      <c r="J150">
        <v>60396.81</v>
      </c>
      <c r="K150">
        <v>77</v>
      </c>
      <c r="L150">
        <v>6</v>
      </c>
      <c r="M150">
        <v>78</v>
      </c>
      <c r="N150">
        <v>7</v>
      </c>
      <c r="O150">
        <v>24</v>
      </c>
      <c r="P150">
        <v>164989.94</v>
      </c>
      <c r="Q150">
        <v>110.26</v>
      </c>
      <c r="R150">
        <v>104.84</v>
      </c>
      <c r="S150">
        <v>0</v>
      </c>
      <c r="T150">
        <v>0</v>
      </c>
      <c r="U150">
        <v>0</v>
      </c>
      <c r="V150">
        <v>0</v>
      </c>
      <c r="W150">
        <v>0</v>
      </c>
      <c r="X150">
        <v>0</v>
      </c>
      <c r="Y150">
        <v>0</v>
      </c>
      <c r="Z150">
        <v>1</v>
      </c>
      <c r="AA150">
        <v>0</v>
      </c>
      <c r="AB150">
        <v>0</v>
      </c>
      <c r="AC150">
        <v>0</v>
      </c>
      <c r="AD150">
        <v>0</v>
      </c>
      <c r="AE150">
        <v>0</v>
      </c>
      <c r="AF150">
        <v>0</v>
      </c>
      <c r="AG150">
        <v>0</v>
      </c>
      <c r="AH150">
        <v>0</v>
      </c>
      <c r="AI150">
        <v>0</v>
      </c>
      <c r="AJ150">
        <v>0</v>
      </c>
      <c r="AK150">
        <v>0</v>
      </c>
      <c r="AL150">
        <v>0</v>
      </c>
      <c r="AM150">
        <v>0</v>
      </c>
      <c r="AN150">
        <v>1</v>
      </c>
      <c r="AO150">
        <v>0</v>
      </c>
      <c r="AP150">
        <v>0</v>
      </c>
    </row>
    <row r="151" spans="4:42" x14ac:dyDescent="0.45">
      <c r="D151">
        <v>2022</v>
      </c>
      <c r="E151">
        <v>6</v>
      </c>
      <c r="F151">
        <v>25875000</v>
      </c>
      <c r="G151">
        <v>2217850.39</v>
      </c>
      <c r="H151">
        <v>1661786.13</v>
      </c>
      <c r="I151">
        <v>495749.19</v>
      </c>
      <c r="J151">
        <v>25765.1</v>
      </c>
      <c r="K151">
        <v>205</v>
      </c>
      <c r="L151">
        <v>15</v>
      </c>
      <c r="M151">
        <v>723</v>
      </c>
      <c r="N151">
        <v>6</v>
      </c>
      <c r="O151">
        <v>33</v>
      </c>
      <c r="P151">
        <v>520338.12</v>
      </c>
      <c r="Q151">
        <v>107.75</v>
      </c>
      <c r="R151">
        <v>103.59</v>
      </c>
      <c r="S151">
        <v>0</v>
      </c>
      <c r="T151">
        <v>0</v>
      </c>
      <c r="U151">
        <v>0</v>
      </c>
      <c r="V151">
        <v>0</v>
      </c>
      <c r="W151">
        <v>0</v>
      </c>
      <c r="X151">
        <v>0</v>
      </c>
      <c r="Y151">
        <v>0</v>
      </c>
      <c r="Z151">
        <v>1</v>
      </c>
      <c r="AA151">
        <v>0</v>
      </c>
      <c r="AB151">
        <v>0</v>
      </c>
      <c r="AC151">
        <v>0</v>
      </c>
      <c r="AD151">
        <v>0</v>
      </c>
      <c r="AE151">
        <v>0</v>
      </c>
      <c r="AF151">
        <v>0</v>
      </c>
      <c r="AG151">
        <v>0</v>
      </c>
      <c r="AH151">
        <v>0</v>
      </c>
      <c r="AI151">
        <v>0</v>
      </c>
      <c r="AJ151">
        <v>0</v>
      </c>
      <c r="AK151">
        <v>0</v>
      </c>
      <c r="AL151">
        <v>0</v>
      </c>
      <c r="AM151">
        <v>1</v>
      </c>
      <c r="AN151">
        <v>0</v>
      </c>
      <c r="AO151">
        <v>0</v>
      </c>
      <c r="AP151">
        <v>0</v>
      </c>
    </row>
    <row r="152" spans="4:42" x14ac:dyDescent="0.45">
      <c r="D152">
        <v>2022</v>
      </c>
      <c r="E152">
        <v>6</v>
      </c>
      <c r="F152">
        <v>4968000</v>
      </c>
      <c r="G152">
        <v>425491.08</v>
      </c>
      <c r="H152">
        <v>348550.81</v>
      </c>
      <c r="I152">
        <v>63891.37</v>
      </c>
      <c r="J152">
        <v>22146.51</v>
      </c>
      <c r="K152">
        <v>37</v>
      </c>
      <c r="L152">
        <v>5</v>
      </c>
      <c r="M152">
        <v>80</v>
      </c>
      <c r="N152">
        <v>2</v>
      </c>
      <c r="O152">
        <v>13</v>
      </c>
      <c r="P152">
        <v>24775.78</v>
      </c>
      <c r="Q152">
        <v>112.85</v>
      </c>
      <c r="R152">
        <v>103.97</v>
      </c>
      <c r="S152">
        <v>0</v>
      </c>
      <c r="T152">
        <v>0</v>
      </c>
      <c r="U152">
        <v>0</v>
      </c>
      <c r="V152">
        <v>0</v>
      </c>
      <c r="W152">
        <v>0</v>
      </c>
      <c r="X152">
        <v>0</v>
      </c>
      <c r="Y152">
        <v>0</v>
      </c>
      <c r="Z152">
        <v>1</v>
      </c>
      <c r="AA152">
        <v>0</v>
      </c>
      <c r="AB152">
        <v>0</v>
      </c>
      <c r="AC152">
        <v>0</v>
      </c>
      <c r="AD152">
        <v>1</v>
      </c>
      <c r="AE152">
        <v>0</v>
      </c>
      <c r="AF152">
        <v>0</v>
      </c>
      <c r="AG152">
        <v>0</v>
      </c>
      <c r="AH152">
        <v>0</v>
      </c>
      <c r="AI152">
        <v>0</v>
      </c>
      <c r="AJ152">
        <v>0</v>
      </c>
      <c r="AK152">
        <v>0</v>
      </c>
      <c r="AL152">
        <v>0</v>
      </c>
      <c r="AM152">
        <v>0</v>
      </c>
      <c r="AN152">
        <v>0</v>
      </c>
      <c r="AO152">
        <v>0</v>
      </c>
      <c r="AP152">
        <v>0</v>
      </c>
    </row>
    <row r="153" spans="4:42" x14ac:dyDescent="0.45">
      <c r="D153">
        <v>2022</v>
      </c>
      <c r="E153">
        <v>6</v>
      </c>
      <c r="F153">
        <v>3622000</v>
      </c>
      <c r="G153">
        <v>304282.42</v>
      </c>
      <c r="H153">
        <v>258413.6</v>
      </c>
      <c r="I153">
        <v>41901.93</v>
      </c>
      <c r="J153">
        <v>6241.65</v>
      </c>
      <c r="K153">
        <v>28</v>
      </c>
      <c r="L153">
        <v>5</v>
      </c>
      <c r="M153">
        <v>33</v>
      </c>
      <c r="N153">
        <v>2</v>
      </c>
      <c r="O153">
        <v>9</v>
      </c>
      <c r="P153">
        <v>16281.09</v>
      </c>
      <c r="Q153">
        <v>112.27</v>
      </c>
      <c r="R153">
        <v>103.93</v>
      </c>
      <c r="S153">
        <v>0</v>
      </c>
      <c r="T153">
        <v>0</v>
      </c>
      <c r="U153">
        <v>0</v>
      </c>
      <c r="V153">
        <v>0</v>
      </c>
      <c r="W153">
        <v>0</v>
      </c>
      <c r="X153">
        <v>0</v>
      </c>
      <c r="Y153">
        <v>0</v>
      </c>
      <c r="Z153">
        <v>1</v>
      </c>
      <c r="AA153">
        <v>0</v>
      </c>
      <c r="AB153">
        <v>0</v>
      </c>
      <c r="AC153">
        <v>0</v>
      </c>
      <c r="AD153">
        <v>0</v>
      </c>
      <c r="AE153">
        <v>0</v>
      </c>
      <c r="AF153">
        <v>0</v>
      </c>
      <c r="AG153">
        <v>0</v>
      </c>
      <c r="AH153">
        <v>0</v>
      </c>
      <c r="AI153">
        <v>0</v>
      </c>
      <c r="AJ153">
        <v>0</v>
      </c>
      <c r="AK153">
        <v>0</v>
      </c>
      <c r="AL153">
        <v>0</v>
      </c>
      <c r="AM153">
        <v>0</v>
      </c>
      <c r="AN153">
        <v>0</v>
      </c>
      <c r="AO153">
        <v>0</v>
      </c>
      <c r="AP153">
        <v>0</v>
      </c>
    </row>
    <row r="154" spans="4:42" x14ac:dyDescent="0.45">
      <c r="D154">
        <v>2022</v>
      </c>
      <c r="E154">
        <v>6</v>
      </c>
      <c r="F154">
        <v>4347000</v>
      </c>
      <c r="G154">
        <v>372361.37</v>
      </c>
      <c r="H154">
        <v>295938.31</v>
      </c>
      <c r="I154">
        <v>68371.710000000006</v>
      </c>
      <c r="J154">
        <v>3602.02</v>
      </c>
      <c r="K154">
        <v>33</v>
      </c>
      <c r="L154">
        <v>5</v>
      </c>
      <c r="M154">
        <v>38</v>
      </c>
      <c r="N154">
        <v>0</v>
      </c>
      <c r="O154">
        <v>7</v>
      </c>
      <c r="P154">
        <v>5857.24</v>
      </c>
      <c r="Q154">
        <v>112.05</v>
      </c>
      <c r="R154">
        <v>104.19</v>
      </c>
      <c r="S154">
        <v>0</v>
      </c>
      <c r="T154">
        <v>0</v>
      </c>
      <c r="U154">
        <v>0</v>
      </c>
      <c r="V154">
        <v>0</v>
      </c>
      <c r="W154">
        <v>0</v>
      </c>
      <c r="X154">
        <v>0</v>
      </c>
      <c r="Y154">
        <v>0</v>
      </c>
      <c r="Z154">
        <v>1</v>
      </c>
      <c r="AA154">
        <v>0</v>
      </c>
      <c r="AB154">
        <v>0</v>
      </c>
      <c r="AC154">
        <v>0</v>
      </c>
      <c r="AD154">
        <v>0</v>
      </c>
      <c r="AE154">
        <v>0</v>
      </c>
      <c r="AF154">
        <v>0</v>
      </c>
      <c r="AG154">
        <v>0</v>
      </c>
      <c r="AH154">
        <v>0</v>
      </c>
      <c r="AI154">
        <v>0</v>
      </c>
      <c r="AJ154">
        <v>0</v>
      </c>
      <c r="AK154">
        <v>0</v>
      </c>
      <c r="AL154">
        <v>1</v>
      </c>
      <c r="AM154">
        <v>0</v>
      </c>
      <c r="AN154">
        <v>0</v>
      </c>
      <c r="AO154">
        <v>0</v>
      </c>
      <c r="AP154">
        <v>0</v>
      </c>
    </row>
    <row r="155" spans="4:42" x14ac:dyDescent="0.45">
      <c r="D155">
        <v>2022</v>
      </c>
      <c r="E155">
        <v>6</v>
      </c>
      <c r="F155">
        <v>7555000</v>
      </c>
      <c r="G155">
        <v>578548.59</v>
      </c>
      <c r="H155">
        <v>339682.44</v>
      </c>
      <c r="I155">
        <v>240255.5</v>
      </c>
      <c r="J155">
        <v>26905.119999999999</v>
      </c>
      <c r="K155">
        <v>45</v>
      </c>
      <c r="L155">
        <v>3</v>
      </c>
      <c r="M155">
        <v>99</v>
      </c>
      <c r="N155">
        <v>0</v>
      </c>
      <c r="O155">
        <v>13</v>
      </c>
      <c r="P155">
        <v>13261.24</v>
      </c>
      <c r="Q155">
        <v>109.56</v>
      </c>
      <c r="R155">
        <v>104.57</v>
      </c>
      <c r="S155">
        <v>0</v>
      </c>
      <c r="T155">
        <v>0</v>
      </c>
      <c r="U155">
        <v>0</v>
      </c>
      <c r="V155">
        <v>0</v>
      </c>
      <c r="W155">
        <v>0</v>
      </c>
      <c r="X155">
        <v>0</v>
      </c>
      <c r="Y155">
        <v>0</v>
      </c>
      <c r="Z155">
        <v>1</v>
      </c>
      <c r="AA155">
        <v>0</v>
      </c>
      <c r="AB155">
        <v>0</v>
      </c>
      <c r="AC155">
        <v>0</v>
      </c>
      <c r="AD155">
        <v>0</v>
      </c>
      <c r="AE155">
        <v>0</v>
      </c>
      <c r="AF155">
        <v>0</v>
      </c>
      <c r="AG155">
        <v>1</v>
      </c>
      <c r="AH155">
        <v>0</v>
      </c>
      <c r="AI155">
        <v>0</v>
      </c>
      <c r="AJ155">
        <v>0</v>
      </c>
      <c r="AK155">
        <v>0</v>
      </c>
      <c r="AL155">
        <v>0</v>
      </c>
      <c r="AM155">
        <v>0</v>
      </c>
      <c r="AN155">
        <v>0</v>
      </c>
      <c r="AO155">
        <v>0</v>
      </c>
      <c r="AP155">
        <v>0</v>
      </c>
    </row>
    <row r="156" spans="4:42" x14ac:dyDescent="0.45">
      <c r="D156">
        <v>2022</v>
      </c>
      <c r="E156">
        <v>6</v>
      </c>
      <c r="F156">
        <v>6417000</v>
      </c>
      <c r="G156">
        <v>453059.88</v>
      </c>
      <c r="H156">
        <v>260032.74</v>
      </c>
      <c r="I156">
        <v>198853.24</v>
      </c>
      <c r="J156">
        <v>11382.55</v>
      </c>
      <c r="K156">
        <v>30</v>
      </c>
      <c r="L156">
        <v>4</v>
      </c>
      <c r="M156">
        <v>32</v>
      </c>
      <c r="N156">
        <v>3</v>
      </c>
      <c r="O156">
        <v>13</v>
      </c>
      <c r="P156">
        <v>42306.66</v>
      </c>
      <c r="Q156">
        <v>109.9</v>
      </c>
      <c r="R156">
        <v>104.35</v>
      </c>
      <c r="S156">
        <v>0</v>
      </c>
      <c r="T156">
        <v>0</v>
      </c>
      <c r="U156">
        <v>0</v>
      </c>
      <c r="V156">
        <v>0</v>
      </c>
      <c r="W156">
        <v>0</v>
      </c>
      <c r="X156">
        <v>0</v>
      </c>
      <c r="Y156">
        <v>0</v>
      </c>
      <c r="Z156">
        <v>1</v>
      </c>
      <c r="AA156">
        <v>0</v>
      </c>
      <c r="AB156">
        <v>0</v>
      </c>
      <c r="AC156">
        <v>0</v>
      </c>
      <c r="AD156">
        <v>0</v>
      </c>
      <c r="AE156">
        <v>0</v>
      </c>
      <c r="AF156">
        <v>0</v>
      </c>
      <c r="AG156">
        <v>0</v>
      </c>
      <c r="AH156">
        <v>1</v>
      </c>
      <c r="AI156">
        <v>0</v>
      </c>
      <c r="AJ156">
        <v>0</v>
      </c>
      <c r="AK156">
        <v>0</v>
      </c>
      <c r="AL156">
        <v>0</v>
      </c>
      <c r="AM156">
        <v>0</v>
      </c>
      <c r="AN156">
        <v>0</v>
      </c>
      <c r="AO156">
        <v>0</v>
      </c>
      <c r="AP156">
        <v>0</v>
      </c>
    </row>
    <row r="157" spans="4:42" x14ac:dyDescent="0.45">
      <c r="D157">
        <v>2022</v>
      </c>
      <c r="E157">
        <v>6</v>
      </c>
      <c r="F157">
        <v>22770000</v>
      </c>
      <c r="G157">
        <v>2305847.94</v>
      </c>
      <c r="H157">
        <v>1650959.62</v>
      </c>
      <c r="I157">
        <v>417231.63</v>
      </c>
      <c r="J157">
        <v>241908.86</v>
      </c>
      <c r="K157">
        <v>184</v>
      </c>
      <c r="L157">
        <v>11</v>
      </c>
      <c r="M157">
        <v>812</v>
      </c>
      <c r="N157">
        <v>7</v>
      </c>
      <c r="O157">
        <v>33</v>
      </c>
      <c r="P157">
        <v>417296.23</v>
      </c>
      <c r="Q157">
        <v>112.68</v>
      </c>
      <c r="R157">
        <v>105.18</v>
      </c>
      <c r="S157">
        <v>0</v>
      </c>
      <c r="T157">
        <v>0</v>
      </c>
      <c r="U157">
        <v>0</v>
      </c>
      <c r="V157">
        <v>0</v>
      </c>
      <c r="W157">
        <v>0</v>
      </c>
      <c r="X157">
        <v>0</v>
      </c>
      <c r="Y157">
        <v>0</v>
      </c>
      <c r="Z157">
        <v>1</v>
      </c>
      <c r="AA157">
        <v>0</v>
      </c>
      <c r="AB157">
        <v>0</v>
      </c>
      <c r="AC157">
        <v>0</v>
      </c>
      <c r="AD157">
        <v>0</v>
      </c>
      <c r="AE157">
        <v>0</v>
      </c>
      <c r="AF157">
        <v>1</v>
      </c>
      <c r="AG157">
        <v>0</v>
      </c>
      <c r="AH157">
        <v>0</v>
      </c>
      <c r="AI157">
        <v>0</v>
      </c>
      <c r="AJ157">
        <v>0</v>
      </c>
      <c r="AK157">
        <v>0</v>
      </c>
      <c r="AL157">
        <v>0</v>
      </c>
      <c r="AM157">
        <v>0</v>
      </c>
      <c r="AN157">
        <v>0</v>
      </c>
      <c r="AO157">
        <v>0</v>
      </c>
      <c r="AP157">
        <v>0</v>
      </c>
    </row>
    <row r="158" spans="4:42" x14ac:dyDescent="0.45">
      <c r="D158">
        <v>2022</v>
      </c>
      <c r="E158">
        <v>6</v>
      </c>
      <c r="F158">
        <v>19665000</v>
      </c>
      <c r="G158">
        <v>2003584.36</v>
      </c>
      <c r="H158">
        <v>801523.94</v>
      </c>
      <c r="I158">
        <v>892785.35</v>
      </c>
      <c r="J158">
        <v>304406.90000000002</v>
      </c>
      <c r="K158">
        <v>99</v>
      </c>
      <c r="L158">
        <v>8</v>
      </c>
      <c r="M158">
        <v>349</v>
      </c>
      <c r="N158">
        <v>3</v>
      </c>
      <c r="O158">
        <v>27</v>
      </c>
      <c r="P158">
        <v>189039.7</v>
      </c>
      <c r="Q158">
        <v>112.11</v>
      </c>
      <c r="R158">
        <v>104.88</v>
      </c>
      <c r="S158">
        <v>0</v>
      </c>
      <c r="T158">
        <v>0</v>
      </c>
      <c r="U158">
        <v>0</v>
      </c>
      <c r="V158">
        <v>0</v>
      </c>
      <c r="W158">
        <v>0</v>
      </c>
      <c r="X158">
        <v>0</v>
      </c>
      <c r="Y158">
        <v>0</v>
      </c>
      <c r="Z158">
        <v>1</v>
      </c>
      <c r="AA158">
        <v>0</v>
      </c>
      <c r="AB158">
        <v>0</v>
      </c>
      <c r="AC158">
        <v>0</v>
      </c>
      <c r="AD158">
        <v>0</v>
      </c>
      <c r="AE158">
        <v>0</v>
      </c>
      <c r="AF158">
        <v>0</v>
      </c>
      <c r="AG158">
        <v>0</v>
      </c>
      <c r="AH158">
        <v>0</v>
      </c>
      <c r="AI158">
        <v>0</v>
      </c>
      <c r="AJ158">
        <v>0</v>
      </c>
      <c r="AK158">
        <v>0</v>
      </c>
      <c r="AL158">
        <v>0</v>
      </c>
      <c r="AM158">
        <v>0</v>
      </c>
      <c r="AN158">
        <v>0</v>
      </c>
      <c r="AO158">
        <v>0</v>
      </c>
      <c r="AP158">
        <v>1</v>
      </c>
    </row>
    <row r="159" spans="4:42" x14ac:dyDescent="0.45">
      <c r="D159">
        <v>2022</v>
      </c>
      <c r="E159">
        <v>6</v>
      </c>
      <c r="F159">
        <v>8280000</v>
      </c>
      <c r="G159">
        <v>689746.92</v>
      </c>
      <c r="H159">
        <v>438705.25</v>
      </c>
      <c r="I159">
        <v>219761.01</v>
      </c>
      <c r="J159">
        <v>9728.4</v>
      </c>
      <c r="K159">
        <v>65</v>
      </c>
      <c r="L159">
        <v>6</v>
      </c>
      <c r="M159">
        <v>84</v>
      </c>
      <c r="N159">
        <v>4</v>
      </c>
      <c r="O159">
        <v>16</v>
      </c>
      <c r="P159">
        <v>77970.75</v>
      </c>
      <c r="Q159">
        <v>112.99</v>
      </c>
      <c r="R159">
        <v>104.48</v>
      </c>
      <c r="S159">
        <v>0</v>
      </c>
      <c r="T159">
        <v>0</v>
      </c>
      <c r="U159">
        <v>0</v>
      </c>
      <c r="V159">
        <v>0</v>
      </c>
      <c r="W159">
        <v>0</v>
      </c>
      <c r="X159">
        <v>0</v>
      </c>
      <c r="Y159">
        <v>0</v>
      </c>
      <c r="Z159">
        <v>1</v>
      </c>
      <c r="AA159">
        <v>0</v>
      </c>
      <c r="AB159">
        <v>0</v>
      </c>
      <c r="AC159">
        <v>0</v>
      </c>
      <c r="AD159">
        <v>0</v>
      </c>
      <c r="AE159">
        <v>0</v>
      </c>
      <c r="AF159">
        <v>0</v>
      </c>
      <c r="AG159">
        <v>0</v>
      </c>
      <c r="AH159">
        <v>0</v>
      </c>
      <c r="AI159">
        <v>0</v>
      </c>
      <c r="AJ159">
        <v>1</v>
      </c>
      <c r="AK159">
        <v>0</v>
      </c>
      <c r="AL159">
        <v>0</v>
      </c>
      <c r="AM159">
        <v>0</v>
      </c>
      <c r="AN159">
        <v>0</v>
      </c>
      <c r="AO159">
        <v>0</v>
      </c>
      <c r="AP159">
        <v>0</v>
      </c>
    </row>
    <row r="160" spans="4:42" x14ac:dyDescent="0.45">
      <c r="D160">
        <v>2022</v>
      </c>
      <c r="E160">
        <v>7</v>
      </c>
      <c r="F160">
        <v>3622000</v>
      </c>
      <c r="G160">
        <v>308579.74</v>
      </c>
      <c r="H160">
        <v>259292.08</v>
      </c>
      <c r="I160">
        <v>43447.57</v>
      </c>
      <c r="J160">
        <v>5598.01</v>
      </c>
      <c r="K160">
        <v>27</v>
      </c>
      <c r="L160">
        <v>0</v>
      </c>
      <c r="M160">
        <v>32</v>
      </c>
      <c r="N160">
        <v>3</v>
      </c>
      <c r="O160">
        <v>15</v>
      </c>
      <c r="P160">
        <v>27835.16</v>
      </c>
      <c r="Q160">
        <v>111.98</v>
      </c>
      <c r="R160">
        <v>105.12</v>
      </c>
      <c r="S160">
        <v>1</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row>
    <row r="161" spans="4:42" x14ac:dyDescent="0.45">
      <c r="D161">
        <v>2022</v>
      </c>
      <c r="E161">
        <v>7</v>
      </c>
      <c r="F161">
        <v>4347000</v>
      </c>
      <c r="G161">
        <v>364932.31</v>
      </c>
      <c r="H161">
        <v>296428.83</v>
      </c>
      <c r="I161">
        <v>66595.509999999995</v>
      </c>
      <c r="J161">
        <v>3840.21</v>
      </c>
      <c r="K161">
        <v>33</v>
      </c>
      <c r="L161">
        <v>0</v>
      </c>
      <c r="M161">
        <v>60</v>
      </c>
      <c r="N161">
        <v>2</v>
      </c>
      <c r="O161">
        <v>10</v>
      </c>
      <c r="P161">
        <v>24253.53</v>
      </c>
      <c r="Q161">
        <v>110.48</v>
      </c>
      <c r="R161">
        <v>105.24</v>
      </c>
      <c r="S161">
        <v>1</v>
      </c>
      <c r="T161">
        <v>0</v>
      </c>
      <c r="U161">
        <v>0</v>
      </c>
      <c r="V161">
        <v>0</v>
      </c>
      <c r="W161">
        <v>0</v>
      </c>
      <c r="X161">
        <v>0</v>
      </c>
      <c r="Y161">
        <v>0</v>
      </c>
      <c r="Z161">
        <v>0</v>
      </c>
      <c r="AA161">
        <v>0</v>
      </c>
      <c r="AB161">
        <v>0</v>
      </c>
      <c r="AC161">
        <v>0</v>
      </c>
      <c r="AD161">
        <v>0</v>
      </c>
      <c r="AE161">
        <v>0</v>
      </c>
      <c r="AF161">
        <v>0</v>
      </c>
      <c r="AG161">
        <v>0</v>
      </c>
      <c r="AH161">
        <v>0</v>
      </c>
      <c r="AI161">
        <v>0</v>
      </c>
      <c r="AJ161">
        <v>0</v>
      </c>
      <c r="AK161">
        <v>0</v>
      </c>
      <c r="AL161">
        <v>1</v>
      </c>
      <c r="AM161">
        <v>0</v>
      </c>
      <c r="AN161">
        <v>0</v>
      </c>
      <c r="AO161">
        <v>0</v>
      </c>
      <c r="AP161">
        <v>0</v>
      </c>
    </row>
    <row r="162" spans="4:42" x14ac:dyDescent="0.45">
      <c r="D162">
        <v>2022</v>
      </c>
      <c r="E162">
        <v>7</v>
      </c>
      <c r="F162">
        <v>25875000</v>
      </c>
      <c r="G162">
        <v>2367954.96</v>
      </c>
      <c r="H162">
        <v>1672249.32</v>
      </c>
      <c r="I162">
        <v>579354.32999999996</v>
      </c>
      <c r="J162">
        <v>226389.34</v>
      </c>
      <c r="K162">
        <v>203</v>
      </c>
      <c r="L162">
        <v>17</v>
      </c>
      <c r="M162">
        <v>759</v>
      </c>
      <c r="N162">
        <v>8</v>
      </c>
      <c r="O162">
        <v>33</v>
      </c>
      <c r="P162">
        <v>516339.95</v>
      </c>
      <c r="Q162">
        <v>107.63</v>
      </c>
      <c r="R162">
        <v>104.91</v>
      </c>
      <c r="S162">
        <v>1</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1</v>
      </c>
      <c r="AN162">
        <v>0</v>
      </c>
      <c r="AO162">
        <v>0</v>
      </c>
      <c r="AP162">
        <v>0</v>
      </c>
    </row>
    <row r="163" spans="4:42" x14ac:dyDescent="0.45">
      <c r="D163">
        <v>2022</v>
      </c>
      <c r="E163">
        <v>7</v>
      </c>
      <c r="F163">
        <v>22770000</v>
      </c>
      <c r="G163">
        <v>1881956.21</v>
      </c>
      <c r="H163">
        <v>1485322.06</v>
      </c>
      <c r="I163">
        <v>394308.6</v>
      </c>
      <c r="J163">
        <v>35315.730000000003</v>
      </c>
      <c r="K163">
        <v>175</v>
      </c>
      <c r="L163">
        <v>14</v>
      </c>
      <c r="M163">
        <v>555</v>
      </c>
      <c r="N163">
        <v>7</v>
      </c>
      <c r="O163">
        <v>22</v>
      </c>
      <c r="P163">
        <v>332553.53999999998</v>
      </c>
      <c r="Q163">
        <v>110.02</v>
      </c>
      <c r="R163">
        <v>105.07</v>
      </c>
      <c r="S163">
        <v>1</v>
      </c>
      <c r="T163">
        <v>0</v>
      </c>
      <c r="U163">
        <v>0</v>
      </c>
      <c r="V163">
        <v>0</v>
      </c>
      <c r="W163">
        <v>0</v>
      </c>
      <c r="X163">
        <v>0</v>
      </c>
      <c r="Y163">
        <v>0</v>
      </c>
      <c r="Z163">
        <v>0</v>
      </c>
      <c r="AA163">
        <v>0</v>
      </c>
      <c r="AB163">
        <v>0</v>
      </c>
      <c r="AC163">
        <v>0</v>
      </c>
      <c r="AD163">
        <v>0</v>
      </c>
      <c r="AE163">
        <v>0</v>
      </c>
      <c r="AF163">
        <v>1</v>
      </c>
      <c r="AG163">
        <v>0</v>
      </c>
      <c r="AH163">
        <v>0</v>
      </c>
      <c r="AI163">
        <v>0</v>
      </c>
      <c r="AJ163">
        <v>0</v>
      </c>
      <c r="AK163">
        <v>0</v>
      </c>
      <c r="AL163">
        <v>0</v>
      </c>
      <c r="AM163">
        <v>0</v>
      </c>
      <c r="AN163">
        <v>0</v>
      </c>
      <c r="AO163">
        <v>0</v>
      </c>
      <c r="AP163">
        <v>0</v>
      </c>
    </row>
    <row r="164" spans="4:42" x14ac:dyDescent="0.45">
      <c r="D164">
        <v>2022</v>
      </c>
      <c r="E164">
        <v>7</v>
      </c>
      <c r="F164">
        <v>7555000</v>
      </c>
      <c r="G164">
        <v>612110.09</v>
      </c>
      <c r="H164">
        <v>333201.84000000003</v>
      </c>
      <c r="I164">
        <v>258816.8</v>
      </c>
      <c r="J164">
        <v>35614.69</v>
      </c>
      <c r="K164">
        <v>45</v>
      </c>
      <c r="L164">
        <v>4</v>
      </c>
      <c r="M164">
        <v>70</v>
      </c>
      <c r="N164">
        <v>0</v>
      </c>
      <c r="O164">
        <v>14</v>
      </c>
      <c r="P164">
        <v>15972.9</v>
      </c>
      <c r="Q164">
        <v>107.25</v>
      </c>
      <c r="R164">
        <v>105.23</v>
      </c>
      <c r="S164">
        <v>1</v>
      </c>
      <c r="T164">
        <v>0</v>
      </c>
      <c r="U164">
        <v>0</v>
      </c>
      <c r="V164">
        <v>0</v>
      </c>
      <c r="W164">
        <v>0</v>
      </c>
      <c r="X164">
        <v>0</v>
      </c>
      <c r="Y164">
        <v>0</v>
      </c>
      <c r="Z164">
        <v>0</v>
      </c>
      <c r="AA164">
        <v>0</v>
      </c>
      <c r="AB164">
        <v>0</v>
      </c>
      <c r="AC164">
        <v>0</v>
      </c>
      <c r="AD164">
        <v>0</v>
      </c>
      <c r="AE164">
        <v>0</v>
      </c>
      <c r="AF164">
        <v>0</v>
      </c>
      <c r="AG164">
        <v>1</v>
      </c>
      <c r="AH164">
        <v>0</v>
      </c>
      <c r="AI164">
        <v>0</v>
      </c>
      <c r="AJ164">
        <v>0</v>
      </c>
      <c r="AK164">
        <v>0</v>
      </c>
      <c r="AL164">
        <v>0</v>
      </c>
      <c r="AM164">
        <v>0</v>
      </c>
      <c r="AN164">
        <v>0</v>
      </c>
      <c r="AO164">
        <v>0</v>
      </c>
      <c r="AP164">
        <v>0</v>
      </c>
    </row>
    <row r="165" spans="4:42" x14ac:dyDescent="0.45">
      <c r="D165">
        <v>2022</v>
      </c>
      <c r="E165">
        <v>7</v>
      </c>
      <c r="F165">
        <v>19665000</v>
      </c>
      <c r="G165">
        <v>1641174.34</v>
      </c>
      <c r="H165">
        <v>711330.01</v>
      </c>
      <c r="I165">
        <v>840333.99</v>
      </c>
      <c r="J165">
        <v>115248.15</v>
      </c>
      <c r="K165">
        <v>93</v>
      </c>
      <c r="L165">
        <v>6</v>
      </c>
      <c r="M165">
        <v>244</v>
      </c>
      <c r="N165">
        <v>8</v>
      </c>
      <c r="O165">
        <v>34</v>
      </c>
      <c r="P165">
        <v>307074.53999999998</v>
      </c>
      <c r="Q165">
        <v>111.1</v>
      </c>
      <c r="R165">
        <v>104.37</v>
      </c>
      <c r="S165">
        <v>1</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1</v>
      </c>
    </row>
    <row r="166" spans="4:42" x14ac:dyDescent="0.45">
      <c r="D166">
        <v>2022</v>
      </c>
      <c r="E166">
        <v>7</v>
      </c>
      <c r="F166">
        <v>8280000</v>
      </c>
      <c r="G166">
        <v>625950.81999999995</v>
      </c>
      <c r="H166">
        <v>429002.54</v>
      </c>
      <c r="I166">
        <v>197764.96</v>
      </c>
      <c r="J166">
        <v>11043.42</v>
      </c>
      <c r="K166">
        <v>64</v>
      </c>
      <c r="L166">
        <v>8</v>
      </c>
      <c r="M166">
        <v>104</v>
      </c>
      <c r="N166">
        <v>4</v>
      </c>
      <c r="O166">
        <v>13</v>
      </c>
      <c r="P166">
        <v>95755.1</v>
      </c>
      <c r="Q166">
        <v>111.19</v>
      </c>
      <c r="R166">
        <v>104.98</v>
      </c>
      <c r="S166">
        <v>1</v>
      </c>
      <c r="T166">
        <v>0</v>
      </c>
      <c r="U166">
        <v>0</v>
      </c>
      <c r="V166">
        <v>0</v>
      </c>
      <c r="W166">
        <v>0</v>
      </c>
      <c r="X166">
        <v>0</v>
      </c>
      <c r="Y166">
        <v>0</v>
      </c>
      <c r="Z166">
        <v>0</v>
      </c>
      <c r="AA166">
        <v>0</v>
      </c>
      <c r="AB166">
        <v>0</v>
      </c>
      <c r="AC166">
        <v>0</v>
      </c>
      <c r="AD166">
        <v>0</v>
      </c>
      <c r="AE166">
        <v>0</v>
      </c>
      <c r="AF166">
        <v>0</v>
      </c>
      <c r="AG166">
        <v>0</v>
      </c>
      <c r="AH166">
        <v>0</v>
      </c>
      <c r="AI166">
        <v>0</v>
      </c>
      <c r="AJ166">
        <v>1</v>
      </c>
      <c r="AK166">
        <v>0</v>
      </c>
      <c r="AL166">
        <v>0</v>
      </c>
      <c r="AM166">
        <v>0</v>
      </c>
      <c r="AN166">
        <v>0</v>
      </c>
      <c r="AO166">
        <v>0</v>
      </c>
      <c r="AP166">
        <v>0</v>
      </c>
    </row>
    <row r="167" spans="4:42" x14ac:dyDescent="0.45">
      <c r="D167">
        <v>2022</v>
      </c>
      <c r="E167">
        <v>7</v>
      </c>
      <c r="F167">
        <v>22770000</v>
      </c>
      <c r="G167">
        <v>1881956.21</v>
      </c>
      <c r="H167">
        <v>1485322.06</v>
      </c>
      <c r="I167">
        <v>394308.6</v>
      </c>
      <c r="J167">
        <v>35315.730000000003</v>
      </c>
      <c r="K167">
        <v>175</v>
      </c>
      <c r="L167">
        <v>14</v>
      </c>
      <c r="M167">
        <v>555</v>
      </c>
      <c r="N167">
        <v>7</v>
      </c>
      <c r="O167">
        <v>22</v>
      </c>
      <c r="P167">
        <v>332553.53999999998</v>
      </c>
      <c r="Q167">
        <v>110.02</v>
      </c>
      <c r="R167">
        <v>105.07</v>
      </c>
      <c r="S167">
        <v>1</v>
      </c>
      <c r="T167">
        <v>0</v>
      </c>
      <c r="U167">
        <v>0</v>
      </c>
      <c r="V167">
        <v>0</v>
      </c>
      <c r="W167">
        <v>0</v>
      </c>
      <c r="X167">
        <v>0</v>
      </c>
      <c r="Y167">
        <v>0</v>
      </c>
      <c r="Z167">
        <v>0</v>
      </c>
      <c r="AA167">
        <v>0</v>
      </c>
      <c r="AB167">
        <v>0</v>
      </c>
      <c r="AC167">
        <v>0</v>
      </c>
      <c r="AD167">
        <v>0</v>
      </c>
      <c r="AE167">
        <v>0</v>
      </c>
      <c r="AF167">
        <v>1</v>
      </c>
      <c r="AG167">
        <v>0</v>
      </c>
      <c r="AH167">
        <v>0</v>
      </c>
      <c r="AI167">
        <v>0</v>
      </c>
      <c r="AJ167">
        <v>0</v>
      </c>
      <c r="AK167">
        <v>0</v>
      </c>
      <c r="AL167">
        <v>0</v>
      </c>
      <c r="AM167">
        <v>0</v>
      </c>
      <c r="AN167">
        <v>0</v>
      </c>
      <c r="AO167">
        <v>0</v>
      </c>
      <c r="AP167">
        <v>0</v>
      </c>
    </row>
    <row r="168" spans="4:42" x14ac:dyDescent="0.45">
      <c r="D168">
        <v>2022</v>
      </c>
      <c r="E168">
        <v>7</v>
      </c>
      <c r="F168">
        <v>4968000</v>
      </c>
      <c r="G168">
        <v>430400.77</v>
      </c>
      <c r="H168">
        <v>355112.47</v>
      </c>
      <c r="I168">
        <v>62827.11</v>
      </c>
      <c r="J168">
        <v>10325.14</v>
      </c>
      <c r="K168">
        <v>35</v>
      </c>
      <c r="L168">
        <v>3</v>
      </c>
      <c r="M168">
        <v>74</v>
      </c>
      <c r="N168">
        <v>1</v>
      </c>
      <c r="O168">
        <v>9</v>
      </c>
      <c r="P168">
        <v>11426.76</v>
      </c>
      <c r="Q168">
        <v>111.93</v>
      </c>
      <c r="R168">
        <v>104.91</v>
      </c>
      <c r="S168">
        <v>1</v>
      </c>
      <c r="T168">
        <v>0</v>
      </c>
      <c r="U168">
        <v>0</v>
      </c>
      <c r="V168">
        <v>0</v>
      </c>
      <c r="W168">
        <v>0</v>
      </c>
      <c r="X168">
        <v>0</v>
      </c>
      <c r="Y168">
        <v>0</v>
      </c>
      <c r="Z168">
        <v>0</v>
      </c>
      <c r="AA168">
        <v>0</v>
      </c>
      <c r="AB168">
        <v>0</v>
      </c>
      <c r="AC168">
        <v>0</v>
      </c>
      <c r="AD168">
        <v>1</v>
      </c>
      <c r="AE168">
        <v>0</v>
      </c>
      <c r="AF168">
        <v>0</v>
      </c>
      <c r="AG168">
        <v>0</v>
      </c>
      <c r="AH168">
        <v>0</v>
      </c>
      <c r="AI168">
        <v>0</v>
      </c>
      <c r="AJ168">
        <v>0</v>
      </c>
      <c r="AK168">
        <v>0</v>
      </c>
      <c r="AL168">
        <v>0</v>
      </c>
      <c r="AM168">
        <v>0</v>
      </c>
      <c r="AN168">
        <v>0</v>
      </c>
      <c r="AO168">
        <v>0</v>
      </c>
      <c r="AP168">
        <v>0</v>
      </c>
    </row>
    <row r="169" spans="4:42" x14ac:dyDescent="0.45">
      <c r="D169">
        <v>2022</v>
      </c>
      <c r="E169">
        <v>7</v>
      </c>
      <c r="F169">
        <v>13972000</v>
      </c>
      <c r="G169">
        <v>1047732.28</v>
      </c>
      <c r="H169">
        <v>520432.24</v>
      </c>
      <c r="I169">
        <v>483552.76</v>
      </c>
      <c r="J169">
        <v>49531.34</v>
      </c>
      <c r="K169">
        <v>76</v>
      </c>
      <c r="L169">
        <v>7</v>
      </c>
      <c r="M169">
        <v>104</v>
      </c>
      <c r="N169">
        <v>3</v>
      </c>
      <c r="O169">
        <v>20</v>
      </c>
      <c r="P169">
        <v>143074.03</v>
      </c>
      <c r="Q169">
        <v>114.86</v>
      </c>
      <c r="R169">
        <v>104.83</v>
      </c>
      <c r="S169">
        <v>1</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1</v>
      </c>
      <c r="AO169">
        <v>0</v>
      </c>
      <c r="AP169">
        <v>0</v>
      </c>
    </row>
    <row r="170" spans="4:42" x14ac:dyDescent="0.45">
      <c r="D170">
        <v>2022</v>
      </c>
      <c r="E170">
        <v>7</v>
      </c>
      <c r="F170">
        <v>6417000</v>
      </c>
      <c r="G170">
        <v>522668.99</v>
      </c>
      <c r="H170">
        <v>249629.7</v>
      </c>
      <c r="I170">
        <v>239949.07</v>
      </c>
      <c r="J170">
        <v>32825.15</v>
      </c>
      <c r="K170">
        <v>28</v>
      </c>
      <c r="L170">
        <v>3</v>
      </c>
      <c r="M170">
        <v>38</v>
      </c>
      <c r="N170">
        <v>1</v>
      </c>
      <c r="O170">
        <v>8</v>
      </c>
      <c r="P170">
        <v>15060.38</v>
      </c>
      <c r="Q170">
        <v>114.53</v>
      </c>
      <c r="R170">
        <v>105.13</v>
      </c>
      <c r="S170">
        <v>1</v>
      </c>
      <c r="T170">
        <v>0</v>
      </c>
      <c r="U170">
        <v>0</v>
      </c>
      <c r="V170">
        <v>0</v>
      </c>
      <c r="W170">
        <v>0</v>
      </c>
      <c r="X170">
        <v>0</v>
      </c>
      <c r="Y170">
        <v>0</v>
      </c>
      <c r="Z170">
        <v>0</v>
      </c>
      <c r="AA170">
        <v>0</v>
      </c>
      <c r="AB170">
        <v>0</v>
      </c>
      <c r="AC170">
        <v>0</v>
      </c>
      <c r="AD170">
        <v>0</v>
      </c>
      <c r="AE170">
        <v>0</v>
      </c>
      <c r="AF170">
        <v>0</v>
      </c>
      <c r="AG170">
        <v>0</v>
      </c>
      <c r="AH170">
        <v>0</v>
      </c>
      <c r="AI170">
        <v>1</v>
      </c>
      <c r="AJ170">
        <v>0</v>
      </c>
      <c r="AK170">
        <v>0</v>
      </c>
      <c r="AL170">
        <v>0</v>
      </c>
      <c r="AM170">
        <v>0</v>
      </c>
      <c r="AN170">
        <v>0</v>
      </c>
      <c r="AO170">
        <v>0</v>
      </c>
      <c r="AP170">
        <v>0</v>
      </c>
    </row>
    <row r="171" spans="4:42" x14ac:dyDescent="0.45">
      <c r="D171">
        <v>2022</v>
      </c>
      <c r="E171">
        <v>8</v>
      </c>
      <c r="F171">
        <v>4968000</v>
      </c>
      <c r="G171">
        <v>444998.59</v>
      </c>
      <c r="H171">
        <v>338505.31</v>
      </c>
      <c r="I171">
        <v>60971.53</v>
      </c>
      <c r="J171">
        <v>46051.56</v>
      </c>
      <c r="K171">
        <v>37</v>
      </c>
      <c r="L171">
        <v>4</v>
      </c>
      <c r="M171">
        <v>45</v>
      </c>
      <c r="N171">
        <v>5</v>
      </c>
      <c r="O171">
        <v>17</v>
      </c>
      <c r="P171">
        <v>71385.279999999999</v>
      </c>
      <c r="Q171">
        <v>107.82</v>
      </c>
      <c r="R171">
        <v>104.96</v>
      </c>
      <c r="S171">
        <v>0</v>
      </c>
      <c r="T171">
        <v>0</v>
      </c>
      <c r="U171">
        <v>0</v>
      </c>
      <c r="V171">
        <v>0</v>
      </c>
      <c r="W171">
        <v>0</v>
      </c>
      <c r="X171">
        <v>0</v>
      </c>
      <c r="Y171">
        <v>0</v>
      </c>
      <c r="Z171">
        <v>0</v>
      </c>
      <c r="AA171">
        <v>1</v>
      </c>
      <c r="AB171">
        <v>0</v>
      </c>
      <c r="AC171">
        <v>0</v>
      </c>
      <c r="AD171">
        <v>1</v>
      </c>
      <c r="AE171">
        <v>0</v>
      </c>
      <c r="AF171">
        <v>0</v>
      </c>
      <c r="AG171">
        <v>0</v>
      </c>
      <c r="AH171">
        <v>0</v>
      </c>
      <c r="AI171">
        <v>0</v>
      </c>
      <c r="AJ171">
        <v>0</v>
      </c>
      <c r="AK171">
        <v>0</v>
      </c>
      <c r="AL171">
        <v>0</v>
      </c>
      <c r="AM171">
        <v>0</v>
      </c>
      <c r="AN171">
        <v>0</v>
      </c>
      <c r="AO171">
        <v>0</v>
      </c>
      <c r="AP171">
        <v>0</v>
      </c>
    </row>
    <row r="172" spans="4:42" x14ac:dyDescent="0.45">
      <c r="D172">
        <v>2022</v>
      </c>
      <c r="E172">
        <v>8</v>
      </c>
      <c r="F172">
        <v>4347000</v>
      </c>
      <c r="G172">
        <v>387356.63</v>
      </c>
      <c r="H172">
        <v>314100.19</v>
      </c>
      <c r="I172">
        <v>58041.43</v>
      </c>
      <c r="J172">
        <v>18442.400000000001</v>
      </c>
      <c r="K172">
        <v>33</v>
      </c>
      <c r="L172">
        <v>1</v>
      </c>
      <c r="M172">
        <v>54</v>
      </c>
      <c r="N172">
        <v>2</v>
      </c>
      <c r="O172">
        <v>14</v>
      </c>
      <c r="P172">
        <v>24948.36</v>
      </c>
      <c r="Q172">
        <v>109.77</v>
      </c>
      <c r="R172">
        <v>105.53</v>
      </c>
      <c r="S172">
        <v>0</v>
      </c>
      <c r="T172">
        <v>0</v>
      </c>
      <c r="U172">
        <v>0</v>
      </c>
      <c r="V172">
        <v>0</v>
      </c>
      <c r="W172">
        <v>0</v>
      </c>
      <c r="X172">
        <v>0</v>
      </c>
      <c r="Y172">
        <v>0</v>
      </c>
      <c r="Z172">
        <v>0</v>
      </c>
      <c r="AA172">
        <v>1</v>
      </c>
      <c r="AB172">
        <v>0</v>
      </c>
      <c r="AC172">
        <v>0</v>
      </c>
      <c r="AD172">
        <v>0</v>
      </c>
      <c r="AE172">
        <v>0</v>
      </c>
      <c r="AF172">
        <v>0</v>
      </c>
      <c r="AG172">
        <v>0</v>
      </c>
      <c r="AH172">
        <v>0</v>
      </c>
      <c r="AI172">
        <v>0</v>
      </c>
      <c r="AJ172">
        <v>0</v>
      </c>
      <c r="AK172">
        <v>0</v>
      </c>
      <c r="AL172">
        <v>1</v>
      </c>
      <c r="AM172">
        <v>0</v>
      </c>
      <c r="AN172">
        <v>0</v>
      </c>
      <c r="AO172">
        <v>0</v>
      </c>
      <c r="AP172">
        <v>0</v>
      </c>
    </row>
    <row r="173" spans="4:42" x14ac:dyDescent="0.45">
      <c r="D173">
        <v>2022</v>
      </c>
      <c r="E173">
        <v>8</v>
      </c>
      <c r="F173">
        <v>25875000</v>
      </c>
      <c r="G173">
        <v>2048506.82</v>
      </c>
      <c r="H173">
        <v>1683922.56</v>
      </c>
      <c r="I173">
        <v>420829.66</v>
      </c>
      <c r="J173">
        <v>27546.38</v>
      </c>
      <c r="K173">
        <v>208</v>
      </c>
      <c r="L173">
        <v>13</v>
      </c>
      <c r="M173">
        <v>1112</v>
      </c>
      <c r="N173">
        <v>9</v>
      </c>
      <c r="O173">
        <v>34</v>
      </c>
      <c r="P173">
        <v>586565.41</v>
      </c>
      <c r="Q173">
        <v>109.32</v>
      </c>
      <c r="R173">
        <v>104.37</v>
      </c>
      <c r="S173">
        <v>0</v>
      </c>
      <c r="T173">
        <v>0</v>
      </c>
      <c r="U173">
        <v>0</v>
      </c>
      <c r="V173">
        <v>0</v>
      </c>
      <c r="W173">
        <v>0</v>
      </c>
      <c r="X173">
        <v>0</v>
      </c>
      <c r="Y173">
        <v>0</v>
      </c>
      <c r="Z173">
        <v>0</v>
      </c>
      <c r="AA173">
        <v>1</v>
      </c>
      <c r="AB173">
        <v>0</v>
      </c>
      <c r="AC173">
        <v>0</v>
      </c>
      <c r="AD173">
        <v>0</v>
      </c>
      <c r="AE173">
        <v>0</v>
      </c>
      <c r="AF173">
        <v>0</v>
      </c>
      <c r="AG173">
        <v>0</v>
      </c>
      <c r="AH173">
        <v>0</v>
      </c>
      <c r="AI173">
        <v>0</v>
      </c>
      <c r="AJ173">
        <v>0</v>
      </c>
      <c r="AK173">
        <v>0</v>
      </c>
      <c r="AL173">
        <v>0</v>
      </c>
      <c r="AM173">
        <v>1</v>
      </c>
      <c r="AN173">
        <v>0</v>
      </c>
      <c r="AO173">
        <v>0</v>
      </c>
      <c r="AP173">
        <v>0</v>
      </c>
    </row>
    <row r="174" spans="4:42" x14ac:dyDescent="0.45">
      <c r="D174">
        <v>2022</v>
      </c>
      <c r="E174">
        <v>8</v>
      </c>
      <c r="F174">
        <v>7555000</v>
      </c>
      <c r="G174">
        <v>593736.56000000006</v>
      </c>
      <c r="H174">
        <v>332720.17</v>
      </c>
      <c r="I174">
        <v>241689.88</v>
      </c>
      <c r="J174">
        <v>34742.58</v>
      </c>
      <c r="K174">
        <v>45</v>
      </c>
      <c r="L174">
        <v>2</v>
      </c>
      <c r="M174">
        <v>37</v>
      </c>
      <c r="N174">
        <v>1</v>
      </c>
      <c r="O174">
        <v>21</v>
      </c>
      <c r="P174">
        <v>39985.67</v>
      </c>
      <c r="Q174">
        <v>111.9</v>
      </c>
      <c r="R174">
        <v>105.51</v>
      </c>
      <c r="S174">
        <v>0</v>
      </c>
      <c r="T174">
        <v>0</v>
      </c>
      <c r="U174">
        <v>0</v>
      </c>
      <c r="V174">
        <v>0</v>
      </c>
      <c r="W174">
        <v>0</v>
      </c>
      <c r="X174">
        <v>0</v>
      </c>
      <c r="Y174">
        <v>0</v>
      </c>
      <c r="Z174">
        <v>0</v>
      </c>
      <c r="AA174">
        <v>1</v>
      </c>
      <c r="AB174">
        <v>0</v>
      </c>
      <c r="AC174">
        <v>0</v>
      </c>
      <c r="AD174">
        <v>0</v>
      </c>
      <c r="AE174">
        <v>0</v>
      </c>
      <c r="AF174">
        <v>0</v>
      </c>
      <c r="AG174">
        <v>1</v>
      </c>
      <c r="AH174">
        <v>0</v>
      </c>
      <c r="AI174">
        <v>0</v>
      </c>
      <c r="AJ174">
        <v>0</v>
      </c>
      <c r="AK174">
        <v>0</v>
      </c>
      <c r="AL174">
        <v>0</v>
      </c>
      <c r="AM174">
        <v>0</v>
      </c>
      <c r="AN174">
        <v>0</v>
      </c>
      <c r="AO174">
        <v>0</v>
      </c>
      <c r="AP174">
        <v>0</v>
      </c>
    </row>
    <row r="175" spans="4:42" x14ac:dyDescent="0.45">
      <c r="D175">
        <v>2022</v>
      </c>
      <c r="E175">
        <v>8</v>
      </c>
      <c r="F175">
        <v>6417000</v>
      </c>
      <c r="G175">
        <v>514378.36</v>
      </c>
      <c r="H175">
        <v>265747.71999999997</v>
      </c>
      <c r="I175">
        <v>231790.74</v>
      </c>
      <c r="J175">
        <v>18705.22</v>
      </c>
      <c r="K175">
        <v>30</v>
      </c>
      <c r="L175">
        <v>3</v>
      </c>
      <c r="M175">
        <v>21</v>
      </c>
      <c r="N175">
        <v>5</v>
      </c>
      <c r="O175">
        <v>21</v>
      </c>
      <c r="P175">
        <v>59828.89</v>
      </c>
      <c r="Q175">
        <v>114.2</v>
      </c>
      <c r="R175">
        <v>104.21</v>
      </c>
      <c r="S175">
        <v>0</v>
      </c>
      <c r="T175">
        <v>0</v>
      </c>
      <c r="U175">
        <v>0</v>
      </c>
      <c r="V175">
        <v>0</v>
      </c>
      <c r="W175">
        <v>0</v>
      </c>
      <c r="X175">
        <v>0</v>
      </c>
      <c r="Y175">
        <v>0</v>
      </c>
      <c r="Z175">
        <v>0</v>
      </c>
      <c r="AA175">
        <v>1</v>
      </c>
      <c r="AB175">
        <v>0</v>
      </c>
      <c r="AC175">
        <v>0</v>
      </c>
      <c r="AD175">
        <v>0</v>
      </c>
      <c r="AE175">
        <v>0</v>
      </c>
      <c r="AF175">
        <v>0</v>
      </c>
      <c r="AG175">
        <v>0</v>
      </c>
      <c r="AH175">
        <v>1</v>
      </c>
      <c r="AI175">
        <v>0</v>
      </c>
      <c r="AJ175">
        <v>0</v>
      </c>
      <c r="AK175">
        <v>0</v>
      </c>
      <c r="AL175">
        <v>0</v>
      </c>
      <c r="AM175">
        <v>0</v>
      </c>
      <c r="AN175">
        <v>0</v>
      </c>
      <c r="AO175">
        <v>0</v>
      </c>
      <c r="AP175">
        <v>0</v>
      </c>
    </row>
    <row r="176" spans="4:42" x14ac:dyDescent="0.45">
      <c r="D176">
        <v>2022</v>
      </c>
      <c r="E176">
        <v>8</v>
      </c>
      <c r="F176">
        <v>22770000</v>
      </c>
      <c r="G176">
        <v>1885794.92</v>
      </c>
      <c r="H176">
        <v>1449302.51</v>
      </c>
      <c r="I176">
        <v>368165.36</v>
      </c>
      <c r="J176">
        <v>25010.15</v>
      </c>
      <c r="K176">
        <v>172</v>
      </c>
      <c r="L176">
        <v>13</v>
      </c>
      <c r="M176">
        <v>453</v>
      </c>
      <c r="N176">
        <v>9</v>
      </c>
      <c r="O176">
        <v>30</v>
      </c>
      <c r="P176">
        <v>588130.12</v>
      </c>
      <c r="Q176">
        <v>108.78</v>
      </c>
      <c r="R176">
        <v>104.63</v>
      </c>
      <c r="S176">
        <v>0</v>
      </c>
      <c r="T176">
        <v>0</v>
      </c>
      <c r="U176">
        <v>0</v>
      </c>
      <c r="V176">
        <v>0</v>
      </c>
      <c r="W176">
        <v>0</v>
      </c>
      <c r="X176">
        <v>0</v>
      </c>
      <c r="Y176">
        <v>0</v>
      </c>
      <c r="Z176">
        <v>0</v>
      </c>
      <c r="AA176">
        <v>1</v>
      </c>
      <c r="AB176">
        <v>0</v>
      </c>
      <c r="AC176">
        <v>0</v>
      </c>
      <c r="AD176">
        <v>0</v>
      </c>
      <c r="AE176">
        <v>0</v>
      </c>
      <c r="AF176">
        <v>1</v>
      </c>
      <c r="AG176">
        <v>0</v>
      </c>
      <c r="AH176">
        <v>0</v>
      </c>
      <c r="AI176">
        <v>0</v>
      </c>
      <c r="AJ176">
        <v>0</v>
      </c>
      <c r="AK176">
        <v>0</v>
      </c>
      <c r="AL176">
        <v>0</v>
      </c>
      <c r="AM176">
        <v>0</v>
      </c>
      <c r="AN176">
        <v>0</v>
      </c>
      <c r="AO176">
        <v>0</v>
      </c>
      <c r="AP176">
        <v>0</v>
      </c>
    </row>
    <row r="177" spans="4:42" x14ac:dyDescent="0.45">
      <c r="D177">
        <v>2022</v>
      </c>
      <c r="E177">
        <v>8</v>
      </c>
      <c r="F177">
        <v>8280000</v>
      </c>
      <c r="G177">
        <v>697847.8</v>
      </c>
      <c r="H177">
        <v>431264.66</v>
      </c>
      <c r="I177">
        <v>209758.03</v>
      </c>
      <c r="J177">
        <v>78377.55</v>
      </c>
      <c r="K177">
        <v>64</v>
      </c>
      <c r="L177">
        <v>9</v>
      </c>
      <c r="M177">
        <v>137</v>
      </c>
      <c r="N177">
        <v>0</v>
      </c>
      <c r="O177">
        <v>8</v>
      </c>
      <c r="P177">
        <v>9884.9699999999993</v>
      </c>
      <c r="Q177">
        <v>109.79</v>
      </c>
      <c r="R177">
        <v>104.01</v>
      </c>
      <c r="S177">
        <v>0</v>
      </c>
      <c r="T177">
        <v>0</v>
      </c>
      <c r="U177">
        <v>0</v>
      </c>
      <c r="V177">
        <v>0</v>
      </c>
      <c r="W177">
        <v>0</v>
      </c>
      <c r="X177">
        <v>0</v>
      </c>
      <c r="Y177">
        <v>0</v>
      </c>
      <c r="Z177">
        <v>0</v>
      </c>
      <c r="AA177">
        <v>1</v>
      </c>
      <c r="AB177">
        <v>0</v>
      </c>
      <c r="AC177">
        <v>0</v>
      </c>
      <c r="AD177">
        <v>0</v>
      </c>
      <c r="AE177">
        <v>0</v>
      </c>
      <c r="AF177">
        <v>0</v>
      </c>
      <c r="AG177">
        <v>0</v>
      </c>
      <c r="AH177">
        <v>0</v>
      </c>
      <c r="AI177">
        <v>0</v>
      </c>
      <c r="AJ177">
        <v>1</v>
      </c>
      <c r="AK177">
        <v>0</v>
      </c>
      <c r="AL177">
        <v>0</v>
      </c>
      <c r="AM177">
        <v>0</v>
      </c>
      <c r="AN177">
        <v>0</v>
      </c>
      <c r="AO177">
        <v>0</v>
      </c>
      <c r="AP177">
        <v>0</v>
      </c>
    </row>
    <row r="178" spans="4:42" x14ac:dyDescent="0.45">
      <c r="D178">
        <v>2022</v>
      </c>
      <c r="E178">
        <v>8</v>
      </c>
      <c r="F178">
        <v>19665000</v>
      </c>
      <c r="G178">
        <v>1358140.69</v>
      </c>
      <c r="H178">
        <v>679483.29</v>
      </c>
      <c r="I178">
        <v>625913.16</v>
      </c>
      <c r="J178">
        <v>105087.32</v>
      </c>
      <c r="K178">
        <v>89</v>
      </c>
      <c r="L178">
        <v>6</v>
      </c>
      <c r="M178">
        <v>296</v>
      </c>
      <c r="N178">
        <v>7</v>
      </c>
      <c r="O178">
        <v>31</v>
      </c>
      <c r="P178">
        <v>260611.91</v>
      </c>
      <c r="Q178">
        <v>109.19</v>
      </c>
      <c r="R178">
        <v>104.87</v>
      </c>
      <c r="S178">
        <v>0</v>
      </c>
      <c r="T178">
        <v>0</v>
      </c>
      <c r="U178">
        <v>0</v>
      </c>
      <c r="V178">
        <v>0</v>
      </c>
      <c r="W178">
        <v>0</v>
      </c>
      <c r="X178">
        <v>0</v>
      </c>
      <c r="Y178">
        <v>0</v>
      </c>
      <c r="Z178">
        <v>0</v>
      </c>
      <c r="AA178">
        <v>1</v>
      </c>
      <c r="AB178">
        <v>0</v>
      </c>
      <c r="AC178">
        <v>0</v>
      </c>
      <c r="AD178">
        <v>0</v>
      </c>
      <c r="AE178">
        <v>0</v>
      </c>
      <c r="AF178">
        <v>0</v>
      </c>
      <c r="AG178">
        <v>0</v>
      </c>
      <c r="AH178">
        <v>0</v>
      </c>
      <c r="AI178">
        <v>0</v>
      </c>
      <c r="AJ178">
        <v>0</v>
      </c>
      <c r="AK178">
        <v>0</v>
      </c>
      <c r="AL178">
        <v>0</v>
      </c>
      <c r="AM178">
        <v>0</v>
      </c>
      <c r="AN178">
        <v>0</v>
      </c>
      <c r="AO178">
        <v>0</v>
      </c>
      <c r="AP178">
        <v>1</v>
      </c>
    </row>
    <row r="179" spans="4:42" x14ac:dyDescent="0.45">
      <c r="D179">
        <v>2022</v>
      </c>
      <c r="E179">
        <v>8</v>
      </c>
      <c r="F179">
        <v>13972000</v>
      </c>
      <c r="G179">
        <v>1107859.27</v>
      </c>
      <c r="H179">
        <v>564748.78</v>
      </c>
      <c r="I179">
        <v>483566.17</v>
      </c>
      <c r="J179">
        <v>71590.05</v>
      </c>
      <c r="K179">
        <v>79</v>
      </c>
      <c r="L179">
        <v>8</v>
      </c>
      <c r="M179">
        <v>42</v>
      </c>
      <c r="N179">
        <v>5</v>
      </c>
      <c r="O179">
        <v>30</v>
      </c>
      <c r="P179">
        <v>240528.32</v>
      </c>
      <c r="Q179">
        <v>110.73</v>
      </c>
      <c r="R179">
        <v>103.92</v>
      </c>
      <c r="S179">
        <v>0</v>
      </c>
      <c r="T179">
        <v>0</v>
      </c>
      <c r="U179">
        <v>0</v>
      </c>
      <c r="V179">
        <v>0</v>
      </c>
      <c r="W179">
        <v>0</v>
      </c>
      <c r="X179">
        <v>0</v>
      </c>
      <c r="Y179">
        <v>0</v>
      </c>
      <c r="Z179">
        <v>0</v>
      </c>
      <c r="AA179">
        <v>1</v>
      </c>
      <c r="AB179">
        <v>0</v>
      </c>
      <c r="AC179">
        <v>0</v>
      </c>
      <c r="AD179">
        <v>0</v>
      </c>
      <c r="AE179">
        <v>0</v>
      </c>
      <c r="AF179">
        <v>0</v>
      </c>
      <c r="AG179">
        <v>0</v>
      </c>
      <c r="AH179">
        <v>0</v>
      </c>
      <c r="AI179">
        <v>0</v>
      </c>
      <c r="AJ179">
        <v>0</v>
      </c>
      <c r="AK179">
        <v>0</v>
      </c>
      <c r="AL179">
        <v>0</v>
      </c>
      <c r="AM179">
        <v>0</v>
      </c>
      <c r="AN179">
        <v>1</v>
      </c>
      <c r="AO179">
        <v>0</v>
      </c>
      <c r="AP179">
        <v>0</v>
      </c>
    </row>
    <row r="180" spans="4:42" x14ac:dyDescent="0.45">
      <c r="D180">
        <v>2022</v>
      </c>
      <c r="E180">
        <v>8</v>
      </c>
      <c r="F180">
        <v>3622000</v>
      </c>
      <c r="G180">
        <v>324428.65000000002</v>
      </c>
      <c r="H180">
        <v>275834.83</v>
      </c>
      <c r="I180">
        <v>41365.33</v>
      </c>
      <c r="J180">
        <v>6257.66</v>
      </c>
      <c r="K180">
        <v>28</v>
      </c>
      <c r="L180">
        <v>3</v>
      </c>
      <c r="M180">
        <v>41</v>
      </c>
      <c r="N180">
        <v>0</v>
      </c>
      <c r="O180">
        <v>9</v>
      </c>
      <c r="P180">
        <v>5634.73</v>
      </c>
      <c r="Q180">
        <v>111.06</v>
      </c>
      <c r="R180">
        <v>105.03</v>
      </c>
      <c r="S180">
        <v>0</v>
      </c>
      <c r="T180">
        <v>0</v>
      </c>
      <c r="U180">
        <v>0</v>
      </c>
      <c r="V180">
        <v>0</v>
      </c>
      <c r="W180">
        <v>0</v>
      </c>
      <c r="X180">
        <v>0</v>
      </c>
      <c r="Y180">
        <v>0</v>
      </c>
      <c r="Z180">
        <v>0</v>
      </c>
      <c r="AA180">
        <v>1</v>
      </c>
      <c r="AB180">
        <v>0</v>
      </c>
      <c r="AC180">
        <v>0</v>
      </c>
      <c r="AD180">
        <v>0</v>
      </c>
      <c r="AE180">
        <v>0</v>
      </c>
      <c r="AF180">
        <v>0</v>
      </c>
      <c r="AG180">
        <v>0</v>
      </c>
      <c r="AH180">
        <v>0</v>
      </c>
      <c r="AI180">
        <v>0</v>
      </c>
      <c r="AJ180">
        <v>0</v>
      </c>
      <c r="AK180">
        <v>0</v>
      </c>
      <c r="AL180">
        <v>0</v>
      </c>
      <c r="AM180">
        <v>0</v>
      </c>
      <c r="AN180">
        <v>0</v>
      </c>
      <c r="AO180">
        <v>0</v>
      </c>
      <c r="AP180">
        <v>0</v>
      </c>
    </row>
    <row r="181" spans="4:42" x14ac:dyDescent="0.45">
      <c r="D181">
        <v>2022</v>
      </c>
      <c r="E181">
        <v>9</v>
      </c>
      <c r="F181">
        <v>3622000</v>
      </c>
      <c r="G181">
        <v>308656.59000000003</v>
      </c>
      <c r="H181">
        <v>255212.7</v>
      </c>
      <c r="I181">
        <v>43211.64</v>
      </c>
      <c r="J181">
        <v>6956.84</v>
      </c>
      <c r="K181">
        <v>27</v>
      </c>
      <c r="L181">
        <v>2</v>
      </c>
      <c r="M181">
        <v>20</v>
      </c>
      <c r="N181">
        <v>3</v>
      </c>
      <c r="O181">
        <v>12</v>
      </c>
      <c r="P181">
        <v>32700.720000000001</v>
      </c>
      <c r="Q181">
        <v>110.61</v>
      </c>
      <c r="R181">
        <v>105.02</v>
      </c>
      <c r="S181">
        <v>0</v>
      </c>
      <c r="T181">
        <v>0</v>
      </c>
      <c r="U181">
        <v>0</v>
      </c>
      <c r="V181">
        <v>0</v>
      </c>
      <c r="W181">
        <v>0</v>
      </c>
      <c r="X181">
        <v>0</v>
      </c>
      <c r="Y181">
        <v>1</v>
      </c>
      <c r="Z181">
        <v>0</v>
      </c>
      <c r="AA181">
        <v>0</v>
      </c>
      <c r="AB181">
        <v>0</v>
      </c>
      <c r="AC181">
        <v>0</v>
      </c>
      <c r="AD181">
        <v>0</v>
      </c>
      <c r="AE181">
        <v>0</v>
      </c>
      <c r="AF181">
        <v>0</v>
      </c>
      <c r="AG181">
        <v>0</v>
      </c>
      <c r="AH181">
        <v>0</v>
      </c>
      <c r="AI181">
        <v>0</v>
      </c>
      <c r="AJ181">
        <v>0</v>
      </c>
      <c r="AK181">
        <v>0</v>
      </c>
      <c r="AL181">
        <v>0</v>
      </c>
      <c r="AM181">
        <v>0</v>
      </c>
      <c r="AN181">
        <v>0</v>
      </c>
      <c r="AO181">
        <v>0</v>
      </c>
      <c r="AP181">
        <v>0</v>
      </c>
    </row>
    <row r="182" spans="4:42" x14ac:dyDescent="0.45">
      <c r="D182">
        <v>2022</v>
      </c>
      <c r="E182">
        <v>9</v>
      </c>
      <c r="F182">
        <v>13972000</v>
      </c>
      <c r="G182">
        <v>1302099.3799999999</v>
      </c>
      <c r="H182">
        <v>583708.25</v>
      </c>
      <c r="I182">
        <v>543150.39</v>
      </c>
      <c r="J182">
        <v>177202.01</v>
      </c>
      <c r="K182">
        <v>83</v>
      </c>
      <c r="L182">
        <v>5</v>
      </c>
      <c r="M182">
        <v>229</v>
      </c>
      <c r="N182">
        <v>5</v>
      </c>
      <c r="O182">
        <v>26</v>
      </c>
      <c r="P182">
        <v>178861.15</v>
      </c>
      <c r="Q182">
        <v>110.89</v>
      </c>
      <c r="R182">
        <v>104.66</v>
      </c>
      <c r="S182">
        <v>0</v>
      </c>
      <c r="T182">
        <v>0</v>
      </c>
      <c r="U182">
        <v>0</v>
      </c>
      <c r="V182">
        <v>0</v>
      </c>
      <c r="W182">
        <v>0</v>
      </c>
      <c r="X182">
        <v>0</v>
      </c>
      <c r="Y182">
        <v>1</v>
      </c>
      <c r="Z182">
        <v>0</v>
      </c>
      <c r="AA182">
        <v>0</v>
      </c>
      <c r="AB182">
        <v>0</v>
      </c>
      <c r="AC182">
        <v>0</v>
      </c>
      <c r="AD182">
        <v>0</v>
      </c>
      <c r="AE182">
        <v>0</v>
      </c>
      <c r="AF182">
        <v>0</v>
      </c>
      <c r="AG182">
        <v>0</v>
      </c>
      <c r="AH182">
        <v>0</v>
      </c>
      <c r="AI182">
        <v>0</v>
      </c>
      <c r="AJ182">
        <v>0</v>
      </c>
      <c r="AK182">
        <v>0</v>
      </c>
      <c r="AL182">
        <v>0</v>
      </c>
      <c r="AM182">
        <v>0</v>
      </c>
      <c r="AN182">
        <v>1</v>
      </c>
      <c r="AO182">
        <v>0</v>
      </c>
      <c r="AP182">
        <v>0</v>
      </c>
    </row>
    <row r="183" spans="4:42" x14ac:dyDescent="0.45">
      <c r="D183">
        <v>2022</v>
      </c>
      <c r="E183">
        <v>9</v>
      </c>
      <c r="F183">
        <v>25875000</v>
      </c>
      <c r="G183">
        <v>2098521.4</v>
      </c>
      <c r="H183">
        <v>1648251.02</v>
      </c>
      <c r="I183">
        <v>475100.2</v>
      </c>
      <c r="J183">
        <v>84477.57</v>
      </c>
      <c r="K183">
        <v>202</v>
      </c>
      <c r="L183">
        <v>14</v>
      </c>
      <c r="M183">
        <v>976</v>
      </c>
      <c r="N183">
        <v>7</v>
      </c>
      <c r="O183">
        <v>31</v>
      </c>
      <c r="P183">
        <v>420804.3</v>
      </c>
      <c r="Q183">
        <v>113.6</v>
      </c>
      <c r="R183">
        <v>105.09</v>
      </c>
      <c r="S183">
        <v>0</v>
      </c>
      <c r="T183">
        <v>0</v>
      </c>
      <c r="U183">
        <v>0</v>
      </c>
      <c r="V183">
        <v>0</v>
      </c>
      <c r="W183">
        <v>0</v>
      </c>
      <c r="X183">
        <v>0</v>
      </c>
      <c r="Y183">
        <v>1</v>
      </c>
      <c r="Z183">
        <v>0</v>
      </c>
      <c r="AA183">
        <v>0</v>
      </c>
      <c r="AB183">
        <v>0</v>
      </c>
      <c r="AC183">
        <v>0</v>
      </c>
      <c r="AD183">
        <v>0</v>
      </c>
      <c r="AE183">
        <v>0</v>
      </c>
      <c r="AF183">
        <v>0</v>
      </c>
      <c r="AG183">
        <v>0</v>
      </c>
      <c r="AH183">
        <v>0</v>
      </c>
      <c r="AI183">
        <v>0</v>
      </c>
      <c r="AJ183">
        <v>0</v>
      </c>
      <c r="AK183">
        <v>0</v>
      </c>
      <c r="AL183">
        <v>0</v>
      </c>
      <c r="AM183">
        <v>1</v>
      </c>
      <c r="AN183">
        <v>0</v>
      </c>
      <c r="AO183">
        <v>0</v>
      </c>
      <c r="AP183">
        <v>0</v>
      </c>
    </row>
    <row r="184" spans="4:42" x14ac:dyDescent="0.45">
      <c r="D184">
        <v>2022</v>
      </c>
      <c r="E184">
        <v>9</v>
      </c>
      <c r="F184">
        <v>4968000</v>
      </c>
      <c r="G184">
        <v>407178.75</v>
      </c>
      <c r="H184">
        <v>337822.92</v>
      </c>
      <c r="I184">
        <v>66847.199999999997</v>
      </c>
      <c r="J184">
        <v>7438.91</v>
      </c>
      <c r="K184">
        <v>35</v>
      </c>
      <c r="L184">
        <v>2</v>
      </c>
      <c r="M184">
        <v>72</v>
      </c>
      <c r="N184">
        <v>2</v>
      </c>
      <c r="O184">
        <v>16</v>
      </c>
      <c r="P184">
        <v>38553.269999999997</v>
      </c>
      <c r="Q184">
        <v>112.05</v>
      </c>
      <c r="R184">
        <v>105.24</v>
      </c>
      <c r="S184">
        <v>0</v>
      </c>
      <c r="T184">
        <v>0</v>
      </c>
      <c r="U184">
        <v>0</v>
      </c>
      <c r="V184">
        <v>0</v>
      </c>
      <c r="W184">
        <v>0</v>
      </c>
      <c r="X184">
        <v>0</v>
      </c>
      <c r="Y184">
        <v>1</v>
      </c>
      <c r="Z184">
        <v>0</v>
      </c>
      <c r="AA184">
        <v>0</v>
      </c>
      <c r="AB184">
        <v>0</v>
      </c>
      <c r="AC184">
        <v>0</v>
      </c>
      <c r="AD184">
        <v>1</v>
      </c>
      <c r="AE184">
        <v>0</v>
      </c>
      <c r="AF184">
        <v>0</v>
      </c>
      <c r="AG184">
        <v>0</v>
      </c>
      <c r="AH184">
        <v>0</v>
      </c>
      <c r="AI184">
        <v>0</v>
      </c>
      <c r="AJ184">
        <v>0</v>
      </c>
      <c r="AK184">
        <v>0</v>
      </c>
      <c r="AL184">
        <v>0</v>
      </c>
      <c r="AM184">
        <v>0</v>
      </c>
      <c r="AN184">
        <v>0</v>
      </c>
      <c r="AO184">
        <v>0</v>
      </c>
      <c r="AP184">
        <v>0</v>
      </c>
    </row>
    <row r="185" spans="4:42" x14ac:dyDescent="0.45">
      <c r="D185">
        <v>2022</v>
      </c>
      <c r="E185">
        <v>9</v>
      </c>
      <c r="F185">
        <v>22770000</v>
      </c>
      <c r="G185">
        <v>2258921.2999999998</v>
      </c>
      <c r="H185">
        <v>1689640.19</v>
      </c>
      <c r="I185">
        <v>450490.27</v>
      </c>
      <c r="J185">
        <v>57159.7</v>
      </c>
      <c r="K185">
        <v>184</v>
      </c>
      <c r="L185">
        <v>12</v>
      </c>
      <c r="M185">
        <v>1027</v>
      </c>
      <c r="N185">
        <v>7</v>
      </c>
      <c r="O185">
        <v>26</v>
      </c>
      <c r="P185">
        <v>316157.09999999998</v>
      </c>
      <c r="Q185">
        <v>112.5</v>
      </c>
      <c r="R185">
        <v>104.81</v>
      </c>
      <c r="S185">
        <v>0</v>
      </c>
      <c r="T185">
        <v>0</v>
      </c>
      <c r="U185">
        <v>0</v>
      </c>
      <c r="V185">
        <v>0</v>
      </c>
      <c r="W185">
        <v>0</v>
      </c>
      <c r="X185">
        <v>0</v>
      </c>
      <c r="Y185">
        <v>1</v>
      </c>
      <c r="Z185">
        <v>0</v>
      </c>
      <c r="AA185">
        <v>0</v>
      </c>
      <c r="AB185">
        <v>0</v>
      </c>
      <c r="AC185">
        <v>0</v>
      </c>
      <c r="AD185">
        <v>0</v>
      </c>
      <c r="AE185">
        <v>0</v>
      </c>
      <c r="AF185">
        <v>1</v>
      </c>
      <c r="AG185">
        <v>0</v>
      </c>
      <c r="AH185">
        <v>0</v>
      </c>
      <c r="AI185">
        <v>0</v>
      </c>
      <c r="AJ185">
        <v>0</v>
      </c>
      <c r="AK185">
        <v>0</v>
      </c>
      <c r="AL185">
        <v>0</v>
      </c>
      <c r="AM185">
        <v>0</v>
      </c>
      <c r="AN185">
        <v>0</v>
      </c>
      <c r="AO185">
        <v>0</v>
      </c>
      <c r="AP185">
        <v>0</v>
      </c>
    </row>
    <row r="186" spans="4:42" x14ac:dyDescent="0.45">
      <c r="D186">
        <v>2022</v>
      </c>
      <c r="E186">
        <v>9</v>
      </c>
      <c r="F186">
        <v>19665000</v>
      </c>
      <c r="G186">
        <v>1425440.27</v>
      </c>
      <c r="H186">
        <v>750729.9</v>
      </c>
      <c r="I186">
        <v>672595.36</v>
      </c>
      <c r="J186">
        <v>54684.639999999999</v>
      </c>
      <c r="K186">
        <v>96</v>
      </c>
      <c r="L186">
        <v>8</v>
      </c>
      <c r="M186">
        <v>337</v>
      </c>
      <c r="N186">
        <v>5</v>
      </c>
      <c r="O186">
        <v>26</v>
      </c>
      <c r="P186">
        <v>192156.59</v>
      </c>
      <c r="Q186">
        <v>111.6</v>
      </c>
      <c r="R186">
        <v>104.68</v>
      </c>
      <c r="S186">
        <v>0</v>
      </c>
      <c r="T186">
        <v>0</v>
      </c>
      <c r="U186">
        <v>0</v>
      </c>
      <c r="V186">
        <v>0</v>
      </c>
      <c r="W186">
        <v>0</v>
      </c>
      <c r="X186">
        <v>0</v>
      </c>
      <c r="Y186">
        <v>1</v>
      </c>
      <c r="Z186">
        <v>0</v>
      </c>
      <c r="AA186">
        <v>0</v>
      </c>
      <c r="AB186">
        <v>0</v>
      </c>
      <c r="AC186">
        <v>0</v>
      </c>
      <c r="AD186">
        <v>0</v>
      </c>
      <c r="AE186">
        <v>0</v>
      </c>
      <c r="AF186">
        <v>0</v>
      </c>
      <c r="AG186">
        <v>0</v>
      </c>
      <c r="AH186">
        <v>0</v>
      </c>
      <c r="AI186">
        <v>0</v>
      </c>
      <c r="AJ186">
        <v>0</v>
      </c>
      <c r="AK186">
        <v>0</v>
      </c>
      <c r="AL186">
        <v>0</v>
      </c>
      <c r="AM186">
        <v>0</v>
      </c>
      <c r="AN186">
        <v>0</v>
      </c>
      <c r="AO186">
        <v>0</v>
      </c>
      <c r="AP186">
        <v>1</v>
      </c>
    </row>
    <row r="187" spans="4:42" x14ac:dyDescent="0.45">
      <c r="D187">
        <v>2022</v>
      </c>
      <c r="E187">
        <v>9</v>
      </c>
      <c r="F187">
        <v>8280000</v>
      </c>
      <c r="G187">
        <v>679123.61</v>
      </c>
      <c r="H187">
        <v>425257.92</v>
      </c>
      <c r="I187">
        <v>196104.93</v>
      </c>
      <c r="J187">
        <v>29247.91</v>
      </c>
      <c r="K187">
        <v>64</v>
      </c>
      <c r="L187">
        <v>6</v>
      </c>
      <c r="M187">
        <v>96</v>
      </c>
      <c r="N187">
        <v>2</v>
      </c>
      <c r="O187">
        <v>16</v>
      </c>
      <c r="P187">
        <v>43129.94</v>
      </c>
      <c r="Q187">
        <v>111.14</v>
      </c>
      <c r="R187">
        <v>105.78</v>
      </c>
      <c r="S187">
        <v>0</v>
      </c>
      <c r="T187">
        <v>0</v>
      </c>
      <c r="U187">
        <v>0</v>
      </c>
      <c r="V187">
        <v>0</v>
      </c>
      <c r="W187">
        <v>0</v>
      </c>
      <c r="X187">
        <v>0</v>
      </c>
      <c r="Y187">
        <v>1</v>
      </c>
      <c r="Z187">
        <v>0</v>
      </c>
      <c r="AA187">
        <v>0</v>
      </c>
      <c r="AB187">
        <v>0</v>
      </c>
      <c r="AC187">
        <v>0</v>
      </c>
      <c r="AD187">
        <v>0</v>
      </c>
      <c r="AE187">
        <v>0</v>
      </c>
      <c r="AF187">
        <v>0</v>
      </c>
      <c r="AG187">
        <v>0</v>
      </c>
      <c r="AH187">
        <v>0</v>
      </c>
      <c r="AI187">
        <v>0</v>
      </c>
      <c r="AJ187">
        <v>1</v>
      </c>
      <c r="AK187">
        <v>0</v>
      </c>
      <c r="AL187">
        <v>0</v>
      </c>
      <c r="AM187">
        <v>0</v>
      </c>
      <c r="AN187">
        <v>0</v>
      </c>
      <c r="AO187">
        <v>0</v>
      </c>
      <c r="AP187">
        <v>0</v>
      </c>
    </row>
    <row r="188" spans="4:42" x14ac:dyDescent="0.45">
      <c r="D188">
        <v>2022</v>
      </c>
      <c r="E188">
        <v>9</v>
      </c>
      <c r="F188">
        <v>4347000</v>
      </c>
      <c r="G188">
        <v>387009.37</v>
      </c>
      <c r="H188">
        <v>310698.59999999998</v>
      </c>
      <c r="I188">
        <v>68420.62</v>
      </c>
      <c r="J188">
        <v>4146.01</v>
      </c>
      <c r="K188">
        <v>34</v>
      </c>
      <c r="L188">
        <v>2</v>
      </c>
      <c r="M188">
        <v>25</v>
      </c>
      <c r="N188">
        <v>3</v>
      </c>
      <c r="O188">
        <v>14</v>
      </c>
      <c r="P188">
        <v>32672.959999999999</v>
      </c>
      <c r="Q188">
        <v>111.5</v>
      </c>
      <c r="R188">
        <v>105.68</v>
      </c>
      <c r="S188">
        <v>0</v>
      </c>
      <c r="T188">
        <v>0</v>
      </c>
      <c r="U188">
        <v>0</v>
      </c>
      <c r="V188">
        <v>0</v>
      </c>
      <c r="W188">
        <v>0</v>
      </c>
      <c r="X188">
        <v>0</v>
      </c>
      <c r="Y188">
        <v>1</v>
      </c>
      <c r="Z188">
        <v>0</v>
      </c>
      <c r="AA188">
        <v>0</v>
      </c>
      <c r="AB188">
        <v>0</v>
      </c>
      <c r="AC188">
        <v>0</v>
      </c>
      <c r="AD188">
        <v>0</v>
      </c>
      <c r="AE188">
        <v>0</v>
      </c>
      <c r="AF188">
        <v>0</v>
      </c>
      <c r="AG188">
        <v>0</v>
      </c>
      <c r="AH188">
        <v>0</v>
      </c>
      <c r="AI188">
        <v>0</v>
      </c>
      <c r="AJ188">
        <v>0</v>
      </c>
      <c r="AK188">
        <v>0</v>
      </c>
      <c r="AL188">
        <v>1</v>
      </c>
      <c r="AM188">
        <v>0</v>
      </c>
      <c r="AN188">
        <v>0</v>
      </c>
      <c r="AO188">
        <v>0</v>
      </c>
      <c r="AP188">
        <v>0</v>
      </c>
    </row>
    <row r="189" spans="4:42" x14ac:dyDescent="0.45">
      <c r="D189">
        <v>2022</v>
      </c>
      <c r="E189">
        <v>9</v>
      </c>
      <c r="F189">
        <v>6417000</v>
      </c>
      <c r="G189">
        <v>501610.16</v>
      </c>
      <c r="H189">
        <v>261666.42</v>
      </c>
      <c r="I189">
        <v>211491.06</v>
      </c>
      <c r="J189">
        <v>31141.78</v>
      </c>
      <c r="K189">
        <v>30</v>
      </c>
      <c r="L189">
        <v>2</v>
      </c>
      <c r="M189">
        <v>44</v>
      </c>
      <c r="N189">
        <v>1</v>
      </c>
      <c r="O189">
        <v>11</v>
      </c>
      <c r="P189">
        <v>26313.64</v>
      </c>
      <c r="Q189">
        <v>110.08</v>
      </c>
      <c r="R189">
        <v>104.61</v>
      </c>
      <c r="S189">
        <v>0</v>
      </c>
      <c r="T189">
        <v>0</v>
      </c>
      <c r="U189">
        <v>0</v>
      </c>
      <c r="V189">
        <v>0</v>
      </c>
      <c r="W189">
        <v>0</v>
      </c>
      <c r="X189">
        <v>0</v>
      </c>
      <c r="Y189">
        <v>1</v>
      </c>
      <c r="Z189">
        <v>0</v>
      </c>
      <c r="AA189">
        <v>0</v>
      </c>
      <c r="AB189">
        <v>0</v>
      </c>
      <c r="AC189">
        <v>0</v>
      </c>
      <c r="AD189">
        <v>0</v>
      </c>
      <c r="AE189">
        <v>0</v>
      </c>
      <c r="AF189">
        <v>0</v>
      </c>
      <c r="AG189">
        <v>0</v>
      </c>
      <c r="AH189">
        <v>1</v>
      </c>
      <c r="AI189">
        <v>0</v>
      </c>
      <c r="AJ189">
        <v>0</v>
      </c>
      <c r="AK189">
        <v>0</v>
      </c>
      <c r="AL189">
        <v>0</v>
      </c>
      <c r="AM189">
        <v>0</v>
      </c>
      <c r="AN189">
        <v>0</v>
      </c>
      <c r="AO189">
        <v>0</v>
      </c>
      <c r="AP189">
        <v>0</v>
      </c>
    </row>
    <row r="190" spans="4:42" x14ac:dyDescent="0.45">
      <c r="D190">
        <v>2022</v>
      </c>
      <c r="E190">
        <v>9</v>
      </c>
      <c r="F190">
        <v>7555000</v>
      </c>
      <c r="G190">
        <v>569928.94999999995</v>
      </c>
      <c r="H190">
        <v>343381.8</v>
      </c>
      <c r="I190">
        <v>230815.31</v>
      </c>
      <c r="J190">
        <v>11370.2</v>
      </c>
      <c r="K190">
        <v>43</v>
      </c>
      <c r="L190">
        <v>0</v>
      </c>
      <c r="M190">
        <v>71</v>
      </c>
      <c r="N190">
        <v>1</v>
      </c>
      <c r="O190">
        <v>13</v>
      </c>
      <c r="P190">
        <v>24042.400000000001</v>
      </c>
      <c r="Q190">
        <v>106.73</v>
      </c>
      <c r="R190">
        <v>105.89</v>
      </c>
      <c r="S190">
        <v>0</v>
      </c>
      <c r="T190">
        <v>0</v>
      </c>
      <c r="U190">
        <v>0</v>
      </c>
      <c r="V190">
        <v>0</v>
      </c>
      <c r="W190">
        <v>0</v>
      </c>
      <c r="X190">
        <v>0</v>
      </c>
      <c r="Y190">
        <v>1</v>
      </c>
      <c r="Z190">
        <v>0</v>
      </c>
      <c r="AA190">
        <v>0</v>
      </c>
      <c r="AB190">
        <v>0</v>
      </c>
      <c r="AC190">
        <v>0</v>
      </c>
      <c r="AD190">
        <v>0</v>
      </c>
      <c r="AE190">
        <v>0</v>
      </c>
      <c r="AF190">
        <v>0</v>
      </c>
      <c r="AG190">
        <v>1</v>
      </c>
      <c r="AH190">
        <v>0</v>
      </c>
      <c r="AI190">
        <v>0</v>
      </c>
      <c r="AJ190">
        <v>0</v>
      </c>
      <c r="AK190">
        <v>0</v>
      </c>
      <c r="AL190">
        <v>0</v>
      </c>
      <c r="AM190">
        <v>0</v>
      </c>
      <c r="AN190">
        <v>0</v>
      </c>
      <c r="AO190">
        <v>0</v>
      </c>
      <c r="AP190">
        <v>0</v>
      </c>
    </row>
    <row r="191" spans="4:42" x14ac:dyDescent="0.45">
      <c r="D191">
        <v>2022</v>
      </c>
      <c r="E191">
        <v>10</v>
      </c>
      <c r="F191">
        <v>4968000</v>
      </c>
      <c r="G191">
        <v>406280.37</v>
      </c>
      <c r="H191">
        <v>345235.19</v>
      </c>
      <c r="I191">
        <v>61439.34</v>
      </c>
      <c r="J191">
        <v>8286.48</v>
      </c>
      <c r="K191">
        <v>35</v>
      </c>
      <c r="L191">
        <v>2</v>
      </c>
      <c r="M191">
        <v>57</v>
      </c>
      <c r="N191">
        <v>1</v>
      </c>
      <c r="O191">
        <v>10</v>
      </c>
      <c r="P191">
        <v>20014.46</v>
      </c>
      <c r="Q191">
        <v>110.96</v>
      </c>
      <c r="R191">
        <v>106</v>
      </c>
      <c r="S191">
        <v>0</v>
      </c>
      <c r="T191">
        <v>0</v>
      </c>
      <c r="U191">
        <v>0</v>
      </c>
      <c r="V191">
        <v>0</v>
      </c>
      <c r="W191">
        <v>0</v>
      </c>
      <c r="X191">
        <v>1</v>
      </c>
      <c r="Y191">
        <v>0</v>
      </c>
      <c r="Z191">
        <v>0</v>
      </c>
      <c r="AA191">
        <v>0</v>
      </c>
      <c r="AB191">
        <v>0</v>
      </c>
      <c r="AC191">
        <v>0</v>
      </c>
      <c r="AD191">
        <v>1</v>
      </c>
      <c r="AE191">
        <v>0</v>
      </c>
      <c r="AF191">
        <v>0</v>
      </c>
      <c r="AG191">
        <v>0</v>
      </c>
      <c r="AH191">
        <v>0</v>
      </c>
      <c r="AI191">
        <v>0</v>
      </c>
      <c r="AJ191">
        <v>0</v>
      </c>
      <c r="AK191">
        <v>0</v>
      </c>
      <c r="AL191">
        <v>0</v>
      </c>
      <c r="AM191">
        <v>0</v>
      </c>
      <c r="AN191">
        <v>0</v>
      </c>
      <c r="AO191">
        <v>0</v>
      </c>
      <c r="AP191">
        <v>0</v>
      </c>
    </row>
    <row r="192" spans="4:42" x14ac:dyDescent="0.45">
      <c r="D192">
        <v>2022</v>
      </c>
      <c r="E192">
        <v>10</v>
      </c>
      <c r="F192">
        <v>8280000</v>
      </c>
      <c r="G192">
        <v>664835.37</v>
      </c>
      <c r="H192">
        <v>440550.23</v>
      </c>
      <c r="I192">
        <v>192111.52</v>
      </c>
      <c r="J192">
        <v>28321.33</v>
      </c>
      <c r="K192">
        <v>64</v>
      </c>
      <c r="L192">
        <v>6</v>
      </c>
      <c r="M192">
        <v>61</v>
      </c>
      <c r="N192">
        <v>1</v>
      </c>
      <c r="O192">
        <v>16</v>
      </c>
      <c r="P192">
        <v>30855.040000000001</v>
      </c>
      <c r="Q192">
        <v>110.07</v>
      </c>
      <c r="R192">
        <v>104.95</v>
      </c>
      <c r="S192">
        <v>0</v>
      </c>
      <c r="T192">
        <v>0</v>
      </c>
      <c r="U192">
        <v>0</v>
      </c>
      <c r="V192">
        <v>0</v>
      </c>
      <c r="W192">
        <v>0</v>
      </c>
      <c r="X192">
        <v>1</v>
      </c>
      <c r="Y192">
        <v>0</v>
      </c>
      <c r="Z192">
        <v>0</v>
      </c>
      <c r="AA192">
        <v>0</v>
      </c>
      <c r="AB192">
        <v>0</v>
      </c>
      <c r="AC192">
        <v>0</v>
      </c>
      <c r="AD192">
        <v>0</v>
      </c>
      <c r="AE192">
        <v>0</v>
      </c>
      <c r="AF192">
        <v>0</v>
      </c>
      <c r="AG192">
        <v>0</v>
      </c>
      <c r="AH192">
        <v>0</v>
      </c>
      <c r="AI192">
        <v>0</v>
      </c>
      <c r="AJ192">
        <v>1</v>
      </c>
      <c r="AK192">
        <v>0</v>
      </c>
      <c r="AL192">
        <v>0</v>
      </c>
      <c r="AM192">
        <v>0</v>
      </c>
      <c r="AN192">
        <v>0</v>
      </c>
      <c r="AO192">
        <v>0</v>
      </c>
      <c r="AP192">
        <v>0</v>
      </c>
    </row>
    <row r="193" spans="4:42" x14ac:dyDescent="0.45">
      <c r="D193">
        <v>2022</v>
      </c>
      <c r="E193">
        <v>10</v>
      </c>
      <c r="F193">
        <v>7555000</v>
      </c>
      <c r="G193">
        <v>588846.23</v>
      </c>
      <c r="H193">
        <v>308067.75</v>
      </c>
      <c r="I193">
        <v>246891.59</v>
      </c>
      <c r="J193">
        <v>32752.17</v>
      </c>
      <c r="K193">
        <v>42</v>
      </c>
      <c r="L193">
        <v>3</v>
      </c>
      <c r="M193">
        <v>38</v>
      </c>
      <c r="N193">
        <v>0</v>
      </c>
      <c r="O193">
        <v>18</v>
      </c>
      <c r="P193">
        <v>17212.73</v>
      </c>
      <c r="Q193">
        <v>106.6</v>
      </c>
      <c r="R193">
        <v>105.09</v>
      </c>
      <c r="S193">
        <v>0</v>
      </c>
      <c r="T193">
        <v>0</v>
      </c>
      <c r="U193">
        <v>0</v>
      </c>
      <c r="V193">
        <v>0</v>
      </c>
      <c r="W193">
        <v>0</v>
      </c>
      <c r="X193">
        <v>1</v>
      </c>
      <c r="Y193">
        <v>0</v>
      </c>
      <c r="Z193">
        <v>0</v>
      </c>
      <c r="AA193">
        <v>0</v>
      </c>
      <c r="AB193">
        <v>0</v>
      </c>
      <c r="AC193">
        <v>0</v>
      </c>
      <c r="AD193">
        <v>0</v>
      </c>
      <c r="AE193">
        <v>0</v>
      </c>
      <c r="AF193">
        <v>0</v>
      </c>
      <c r="AG193">
        <v>1</v>
      </c>
      <c r="AH193">
        <v>0</v>
      </c>
      <c r="AI193">
        <v>0</v>
      </c>
      <c r="AJ193">
        <v>0</v>
      </c>
      <c r="AK193">
        <v>0</v>
      </c>
      <c r="AL193">
        <v>0</v>
      </c>
      <c r="AM193">
        <v>0</v>
      </c>
      <c r="AN193">
        <v>0</v>
      </c>
      <c r="AO193">
        <v>0</v>
      </c>
      <c r="AP193">
        <v>0</v>
      </c>
    </row>
    <row r="194" spans="4:42" x14ac:dyDescent="0.45">
      <c r="D194">
        <v>2022</v>
      </c>
      <c r="E194">
        <v>10</v>
      </c>
      <c r="F194">
        <v>4347000</v>
      </c>
      <c r="G194">
        <v>350896.04</v>
      </c>
      <c r="H194">
        <v>286749.49</v>
      </c>
      <c r="I194">
        <v>57696.39</v>
      </c>
      <c r="J194">
        <v>10005.26</v>
      </c>
      <c r="K194">
        <v>33</v>
      </c>
      <c r="L194">
        <v>4</v>
      </c>
      <c r="M194">
        <v>31</v>
      </c>
      <c r="N194">
        <v>1</v>
      </c>
      <c r="O194">
        <v>18</v>
      </c>
      <c r="P194">
        <v>21339.25</v>
      </c>
      <c r="Q194">
        <v>108.24</v>
      </c>
      <c r="R194">
        <v>104.31</v>
      </c>
      <c r="S194">
        <v>0</v>
      </c>
      <c r="T194">
        <v>0</v>
      </c>
      <c r="U194">
        <v>0</v>
      </c>
      <c r="V194">
        <v>0</v>
      </c>
      <c r="W194">
        <v>0</v>
      </c>
      <c r="X194">
        <v>1</v>
      </c>
      <c r="Y194">
        <v>0</v>
      </c>
      <c r="Z194">
        <v>0</v>
      </c>
      <c r="AA194">
        <v>0</v>
      </c>
      <c r="AB194">
        <v>0</v>
      </c>
      <c r="AC194">
        <v>0</v>
      </c>
      <c r="AD194">
        <v>0</v>
      </c>
      <c r="AE194">
        <v>0</v>
      </c>
      <c r="AF194">
        <v>0</v>
      </c>
      <c r="AG194">
        <v>0</v>
      </c>
      <c r="AH194">
        <v>0</v>
      </c>
      <c r="AI194">
        <v>0</v>
      </c>
      <c r="AJ194">
        <v>0</v>
      </c>
      <c r="AK194">
        <v>0</v>
      </c>
      <c r="AL194">
        <v>1</v>
      </c>
      <c r="AM194">
        <v>0</v>
      </c>
      <c r="AN194">
        <v>0</v>
      </c>
      <c r="AO194">
        <v>0</v>
      </c>
      <c r="AP194">
        <v>0</v>
      </c>
    </row>
    <row r="195" spans="4:42" x14ac:dyDescent="0.45">
      <c r="D195">
        <v>2022</v>
      </c>
      <c r="E195">
        <v>10</v>
      </c>
      <c r="F195">
        <v>22770000</v>
      </c>
      <c r="G195">
        <v>1873208.24</v>
      </c>
      <c r="H195">
        <v>1501731.18</v>
      </c>
      <c r="I195">
        <v>371253.25</v>
      </c>
      <c r="J195">
        <v>31114.43</v>
      </c>
      <c r="K195">
        <v>178</v>
      </c>
      <c r="L195">
        <v>13</v>
      </c>
      <c r="M195">
        <v>687</v>
      </c>
      <c r="N195">
        <v>7</v>
      </c>
      <c r="O195">
        <v>30</v>
      </c>
      <c r="P195">
        <v>335189.87</v>
      </c>
      <c r="Q195">
        <v>108.2</v>
      </c>
      <c r="R195">
        <v>104.58</v>
      </c>
      <c r="S195">
        <v>0</v>
      </c>
      <c r="T195">
        <v>0</v>
      </c>
      <c r="U195">
        <v>0</v>
      </c>
      <c r="V195">
        <v>0</v>
      </c>
      <c r="W195">
        <v>0</v>
      </c>
      <c r="X195">
        <v>1</v>
      </c>
      <c r="Y195">
        <v>0</v>
      </c>
      <c r="Z195">
        <v>0</v>
      </c>
      <c r="AA195">
        <v>0</v>
      </c>
      <c r="AB195">
        <v>0</v>
      </c>
      <c r="AC195">
        <v>0</v>
      </c>
      <c r="AD195">
        <v>0</v>
      </c>
      <c r="AE195">
        <v>0</v>
      </c>
      <c r="AF195">
        <v>1</v>
      </c>
      <c r="AG195">
        <v>0</v>
      </c>
      <c r="AH195">
        <v>0</v>
      </c>
      <c r="AI195">
        <v>0</v>
      </c>
      <c r="AJ195">
        <v>0</v>
      </c>
      <c r="AK195">
        <v>0</v>
      </c>
      <c r="AL195">
        <v>0</v>
      </c>
      <c r="AM195">
        <v>0</v>
      </c>
      <c r="AN195">
        <v>0</v>
      </c>
      <c r="AO195">
        <v>0</v>
      </c>
      <c r="AP195">
        <v>0</v>
      </c>
    </row>
    <row r="196" spans="4:42" x14ac:dyDescent="0.45">
      <c r="D196">
        <v>2022</v>
      </c>
      <c r="E196">
        <v>10</v>
      </c>
      <c r="F196">
        <v>3622000</v>
      </c>
      <c r="G196">
        <v>306741.24</v>
      </c>
      <c r="H196">
        <v>258331.42</v>
      </c>
      <c r="I196">
        <v>39861.919999999998</v>
      </c>
      <c r="J196">
        <v>7285.32</v>
      </c>
      <c r="K196">
        <v>28</v>
      </c>
      <c r="L196">
        <v>6</v>
      </c>
      <c r="M196">
        <v>38</v>
      </c>
      <c r="N196">
        <v>3</v>
      </c>
      <c r="O196">
        <v>13</v>
      </c>
      <c r="P196">
        <v>30905.64</v>
      </c>
      <c r="Q196">
        <v>106.71</v>
      </c>
      <c r="R196">
        <v>105.21</v>
      </c>
      <c r="S196">
        <v>0</v>
      </c>
      <c r="T196">
        <v>0</v>
      </c>
      <c r="U196">
        <v>0</v>
      </c>
      <c r="V196">
        <v>0</v>
      </c>
      <c r="W196">
        <v>0</v>
      </c>
      <c r="X196">
        <v>1</v>
      </c>
      <c r="Y196">
        <v>0</v>
      </c>
      <c r="Z196">
        <v>0</v>
      </c>
      <c r="AA196">
        <v>0</v>
      </c>
      <c r="AB196">
        <v>0</v>
      </c>
      <c r="AC196">
        <v>0</v>
      </c>
      <c r="AD196">
        <v>0</v>
      </c>
      <c r="AE196">
        <v>0</v>
      </c>
      <c r="AF196">
        <v>0</v>
      </c>
      <c r="AG196">
        <v>0</v>
      </c>
      <c r="AH196">
        <v>0</v>
      </c>
      <c r="AI196">
        <v>0</v>
      </c>
      <c r="AJ196">
        <v>0</v>
      </c>
      <c r="AK196">
        <v>0</v>
      </c>
      <c r="AL196">
        <v>0</v>
      </c>
      <c r="AM196">
        <v>0</v>
      </c>
      <c r="AN196">
        <v>0</v>
      </c>
      <c r="AO196">
        <v>0</v>
      </c>
      <c r="AP196">
        <v>0</v>
      </c>
    </row>
    <row r="197" spans="4:42" x14ac:dyDescent="0.45">
      <c r="D197">
        <v>2022</v>
      </c>
      <c r="E197">
        <v>10</v>
      </c>
      <c r="F197">
        <v>13972000</v>
      </c>
      <c r="G197">
        <v>1103171.6399999999</v>
      </c>
      <c r="H197">
        <v>545388.43999999994</v>
      </c>
      <c r="I197">
        <v>498992.22</v>
      </c>
      <c r="J197">
        <v>47979.62</v>
      </c>
      <c r="K197">
        <v>77</v>
      </c>
      <c r="L197">
        <v>6</v>
      </c>
      <c r="M197">
        <v>245</v>
      </c>
      <c r="N197">
        <v>2</v>
      </c>
      <c r="O197">
        <v>19</v>
      </c>
      <c r="P197">
        <v>94813.16</v>
      </c>
      <c r="Q197">
        <v>110.31</v>
      </c>
      <c r="R197">
        <v>105.86</v>
      </c>
      <c r="S197">
        <v>0</v>
      </c>
      <c r="T197">
        <v>0</v>
      </c>
      <c r="U197">
        <v>0</v>
      </c>
      <c r="V197">
        <v>0</v>
      </c>
      <c r="W197">
        <v>0</v>
      </c>
      <c r="X197">
        <v>1</v>
      </c>
      <c r="Y197">
        <v>0</v>
      </c>
      <c r="Z197">
        <v>0</v>
      </c>
      <c r="AA197">
        <v>0</v>
      </c>
      <c r="AB197">
        <v>0</v>
      </c>
      <c r="AC197">
        <v>0</v>
      </c>
      <c r="AD197">
        <v>0</v>
      </c>
      <c r="AE197">
        <v>0</v>
      </c>
      <c r="AF197">
        <v>0</v>
      </c>
      <c r="AG197">
        <v>0</v>
      </c>
      <c r="AH197">
        <v>0</v>
      </c>
      <c r="AI197">
        <v>0</v>
      </c>
      <c r="AJ197">
        <v>0</v>
      </c>
      <c r="AK197">
        <v>0</v>
      </c>
      <c r="AL197">
        <v>0</v>
      </c>
      <c r="AM197">
        <v>0</v>
      </c>
      <c r="AN197">
        <v>1</v>
      </c>
      <c r="AO197">
        <v>0</v>
      </c>
      <c r="AP197">
        <v>0</v>
      </c>
    </row>
    <row r="198" spans="4:42" x14ac:dyDescent="0.45">
      <c r="D198">
        <v>2022</v>
      </c>
      <c r="E198">
        <v>10</v>
      </c>
      <c r="F198">
        <v>25875000</v>
      </c>
      <c r="G198">
        <v>2440975.98</v>
      </c>
      <c r="H198">
        <v>1799287.81</v>
      </c>
      <c r="I198">
        <v>493012.99</v>
      </c>
      <c r="J198">
        <v>53718.35</v>
      </c>
      <c r="K198">
        <v>215</v>
      </c>
      <c r="L198">
        <v>17</v>
      </c>
      <c r="M198">
        <v>872</v>
      </c>
      <c r="N198">
        <v>8</v>
      </c>
      <c r="O198">
        <v>34</v>
      </c>
      <c r="P198">
        <v>662709.02</v>
      </c>
      <c r="Q198">
        <v>105.79</v>
      </c>
      <c r="R198">
        <v>104.96</v>
      </c>
      <c r="S198">
        <v>0</v>
      </c>
      <c r="T198">
        <v>0</v>
      </c>
      <c r="U198">
        <v>0</v>
      </c>
      <c r="V198">
        <v>0</v>
      </c>
      <c r="W198">
        <v>0</v>
      </c>
      <c r="X198">
        <v>1</v>
      </c>
      <c r="Y198">
        <v>0</v>
      </c>
      <c r="Z198">
        <v>0</v>
      </c>
      <c r="AA198">
        <v>0</v>
      </c>
      <c r="AB198">
        <v>0</v>
      </c>
      <c r="AC198">
        <v>0</v>
      </c>
      <c r="AD198">
        <v>0</v>
      </c>
      <c r="AE198">
        <v>0</v>
      </c>
      <c r="AF198">
        <v>0</v>
      </c>
      <c r="AG198">
        <v>0</v>
      </c>
      <c r="AH198">
        <v>0</v>
      </c>
      <c r="AI198">
        <v>0</v>
      </c>
      <c r="AJ198">
        <v>0</v>
      </c>
      <c r="AK198">
        <v>0</v>
      </c>
      <c r="AL198">
        <v>0</v>
      </c>
      <c r="AM198">
        <v>1</v>
      </c>
      <c r="AN198">
        <v>0</v>
      </c>
      <c r="AO198">
        <v>0</v>
      </c>
      <c r="AP198">
        <v>0</v>
      </c>
    </row>
    <row r="199" spans="4:42" x14ac:dyDescent="0.45">
      <c r="D199">
        <v>2022</v>
      </c>
      <c r="E199">
        <v>10</v>
      </c>
      <c r="F199">
        <v>6417000</v>
      </c>
      <c r="G199">
        <v>505873.13</v>
      </c>
      <c r="H199">
        <v>269705.11</v>
      </c>
      <c r="I199">
        <v>225192.15</v>
      </c>
      <c r="J199">
        <v>10544.38</v>
      </c>
      <c r="K199">
        <v>30</v>
      </c>
      <c r="L199">
        <v>3</v>
      </c>
      <c r="M199">
        <v>43</v>
      </c>
      <c r="N199">
        <v>2</v>
      </c>
      <c r="O199">
        <v>11</v>
      </c>
      <c r="P199">
        <v>40947.74</v>
      </c>
      <c r="Q199">
        <v>109.81</v>
      </c>
      <c r="R199">
        <v>106.09</v>
      </c>
      <c r="S199">
        <v>0</v>
      </c>
      <c r="T199">
        <v>0</v>
      </c>
      <c r="U199">
        <v>0</v>
      </c>
      <c r="V199">
        <v>0</v>
      </c>
      <c r="W199">
        <v>0</v>
      </c>
      <c r="X199">
        <v>1</v>
      </c>
      <c r="Y199">
        <v>0</v>
      </c>
      <c r="Z199">
        <v>0</v>
      </c>
      <c r="AA199">
        <v>0</v>
      </c>
      <c r="AB199">
        <v>0</v>
      </c>
      <c r="AC199">
        <v>0</v>
      </c>
      <c r="AD199">
        <v>0</v>
      </c>
      <c r="AE199">
        <v>0</v>
      </c>
      <c r="AF199">
        <v>0</v>
      </c>
      <c r="AG199">
        <v>0</v>
      </c>
      <c r="AH199">
        <v>1</v>
      </c>
      <c r="AI199">
        <v>0</v>
      </c>
      <c r="AJ199">
        <v>0</v>
      </c>
      <c r="AK199">
        <v>0</v>
      </c>
      <c r="AL199">
        <v>0</v>
      </c>
      <c r="AM199">
        <v>0</v>
      </c>
      <c r="AN199">
        <v>0</v>
      </c>
      <c r="AO199">
        <v>0</v>
      </c>
      <c r="AP199">
        <v>0</v>
      </c>
    </row>
    <row r="200" spans="4:42" x14ac:dyDescent="0.45">
      <c r="D200">
        <v>2022</v>
      </c>
      <c r="E200">
        <v>10</v>
      </c>
      <c r="F200">
        <v>19665000</v>
      </c>
      <c r="G200">
        <v>1446201.72</v>
      </c>
      <c r="H200">
        <v>729721.87</v>
      </c>
      <c r="I200">
        <v>611735.89</v>
      </c>
      <c r="J200">
        <v>33395.39</v>
      </c>
      <c r="K200">
        <v>95</v>
      </c>
      <c r="L200">
        <v>8</v>
      </c>
      <c r="M200">
        <v>389</v>
      </c>
      <c r="N200">
        <v>5</v>
      </c>
      <c r="O200">
        <v>21</v>
      </c>
      <c r="P200">
        <v>265752.46999999997</v>
      </c>
      <c r="Q200">
        <v>111.16</v>
      </c>
      <c r="R200">
        <v>105.74</v>
      </c>
      <c r="S200">
        <v>0</v>
      </c>
      <c r="T200">
        <v>0</v>
      </c>
      <c r="U200">
        <v>0</v>
      </c>
      <c r="V200">
        <v>0</v>
      </c>
      <c r="W200">
        <v>0</v>
      </c>
      <c r="X200">
        <v>1</v>
      </c>
      <c r="Y200">
        <v>0</v>
      </c>
      <c r="Z200">
        <v>0</v>
      </c>
      <c r="AA200">
        <v>0</v>
      </c>
      <c r="AB200">
        <v>0</v>
      </c>
      <c r="AC200">
        <v>0</v>
      </c>
      <c r="AD200">
        <v>0</v>
      </c>
      <c r="AE200">
        <v>0</v>
      </c>
      <c r="AF200">
        <v>0</v>
      </c>
      <c r="AG200">
        <v>0</v>
      </c>
      <c r="AH200">
        <v>0</v>
      </c>
      <c r="AI200">
        <v>0</v>
      </c>
      <c r="AJ200">
        <v>0</v>
      </c>
      <c r="AK200">
        <v>0</v>
      </c>
      <c r="AL200">
        <v>0</v>
      </c>
      <c r="AM200">
        <v>0</v>
      </c>
      <c r="AN200">
        <v>0</v>
      </c>
      <c r="AO200">
        <v>0</v>
      </c>
      <c r="AP200">
        <v>1</v>
      </c>
    </row>
    <row r="201" spans="4:42" x14ac:dyDescent="0.45">
      <c r="D201">
        <v>2022</v>
      </c>
      <c r="E201">
        <v>11</v>
      </c>
      <c r="F201">
        <v>7555000</v>
      </c>
      <c r="G201">
        <v>578663.9</v>
      </c>
      <c r="H201">
        <v>329880.71999999997</v>
      </c>
      <c r="I201">
        <v>233736.94</v>
      </c>
      <c r="J201">
        <v>18751.73</v>
      </c>
      <c r="K201">
        <v>44</v>
      </c>
      <c r="L201">
        <v>1</v>
      </c>
      <c r="M201">
        <v>40</v>
      </c>
      <c r="N201">
        <v>3</v>
      </c>
      <c r="O201">
        <v>14</v>
      </c>
      <c r="P201">
        <v>72530.31</v>
      </c>
      <c r="Q201">
        <v>108.85</v>
      </c>
      <c r="R201">
        <v>106.01</v>
      </c>
      <c r="S201">
        <v>0</v>
      </c>
      <c r="T201">
        <v>1</v>
      </c>
      <c r="U201">
        <v>0</v>
      </c>
      <c r="V201">
        <v>0</v>
      </c>
      <c r="W201">
        <v>0</v>
      </c>
      <c r="X201">
        <v>0</v>
      </c>
      <c r="Y201">
        <v>0</v>
      </c>
      <c r="Z201">
        <v>0</v>
      </c>
      <c r="AA201">
        <v>0</v>
      </c>
      <c r="AB201">
        <v>0</v>
      </c>
      <c r="AC201">
        <v>0</v>
      </c>
      <c r="AD201">
        <v>0</v>
      </c>
      <c r="AE201">
        <v>0</v>
      </c>
      <c r="AF201">
        <v>0</v>
      </c>
      <c r="AG201">
        <v>1</v>
      </c>
      <c r="AH201">
        <v>0</v>
      </c>
      <c r="AI201">
        <v>0</v>
      </c>
      <c r="AJ201">
        <v>0</v>
      </c>
      <c r="AK201">
        <v>0</v>
      </c>
      <c r="AL201">
        <v>0</v>
      </c>
      <c r="AM201">
        <v>0</v>
      </c>
      <c r="AN201">
        <v>0</v>
      </c>
      <c r="AO201">
        <v>0</v>
      </c>
      <c r="AP201">
        <v>0</v>
      </c>
    </row>
    <row r="202" spans="4:42" x14ac:dyDescent="0.45">
      <c r="D202">
        <v>2022</v>
      </c>
      <c r="E202">
        <v>11</v>
      </c>
      <c r="F202">
        <v>13972000</v>
      </c>
      <c r="G202">
        <v>1262651.97</v>
      </c>
      <c r="H202">
        <v>527723.30000000005</v>
      </c>
      <c r="I202">
        <v>449702.58</v>
      </c>
      <c r="J202">
        <v>247537.64</v>
      </c>
      <c r="K202">
        <v>75</v>
      </c>
      <c r="L202">
        <v>6</v>
      </c>
      <c r="M202">
        <v>76</v>
      </c>
      <c r="N202">
        <v>4</v>
      </c>
      <c r="O202">
        <v>25</v>
      </c>
      <c r="P202">
        <v>168008.35</v>
      </c>
      <c r="Q202">
        <v>113.49</v>
      </c>
      <c r="R202">
        <v>105.94</v>
      </c>
      <c r="S202">
        <v>0</v>
      </c>
      <c r="T202">
        <v>1</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1</v>
      </c>
      <c r="AO202">
        <v>0</v>
      </c>
      <c r="AP202">
        <v>0</v>
      </c>
    </row>
    <row r="203" spans="4:42" x14ac:dyDescent="0.45">
      <c r="D203">
        <v>2022</v>
      </c>
      <c r="E203">
        <v>11</v>
      </c>
      <c r="F203">
        <v>6417000</v>
      </c>
      <c r="G203">
        <v>509435.9</v>
      </c>
      <c r="H203">
        <v>257434.21</v>
      </c>
      <c r="I203">
        <v>209946.22</v>
      </c>
      <c r="J203">
        <v>27264.7</v>
      </c>
      <c r="K203">
        <v>29</v>
      </c>
      <c r="L203">
        <v>0</v>
      </c>
      <c r="M203">
        <v>71</v>
      </c>
      <c r="N203">
        <v>0</v>
      </c>
      <c r="O203">
        <v>10</v>
      </c>
      <c r="P203">
        <v>11000.83</v>
      </c>
      <c r="Q203">
        <v>109.37</v>
      </c>
      <c r="R203">
        <v>104.83</v>
      </c>
      <c r="S203">
        <v>0</v>
      </c>
      <c r="T203">
        <v>1</v>
      </c>
      <c r="U203">
        <v>0</v>
      </c>
      <c r="V203">
        <v>0</v>
      </c>
      <c r="W203">
        <v>0</v>
      </c>
      <c r="X203">
        <v>0</v>
      </c>
      <c r="Y203">
        <v>0</v>
      </c>
      <c r="Z203">
        <v>0</v>
      </c>
      <c r="AA203">
        <v>0</v>
      </c>
      <c r="AB203">
        <v>0</v>
      </c>
      <c r="AC203">
        <v>0</v>
      </c>
      <c r="AD203">
        <v>0</v>
      </c>
      <c r="AE203">
        <v>0</v>
      </c>
      <c r="AF203">
        <v>0</v>
      </c>
      <c r="AG203">
        <v>0</v>
      </c>
      <c r="AH203">
        <v>1</v>
      </c>
      <c r="AI203">
        <v>0</v>
      </c>
      <c r="AJ203">
        <v>0</v>
      </c>
      <c r="AK203">
        <v>0</v>
      </c>
      <c r="AL203">
        <v>0</v>
      </c>
      <c r="AM203">
        <v>0</v>
      </c>
      <c r="AN203">
        <v>0</v>
      </c>
      <c r="AO203">
        <v>0</v>
      </c>
      <c r="AP203">
        <v>0</v>
      </c>
    </row>
    <row r="204" spans="4:42" x14ac:dyDescent="0.45">
      <c r="D204">
        <v>2022</v>
      </c>
      <c r="E204">
        <v>11</v>
      </c>
      <c r="F204">
        <v>19665000</v>
      </c>
      <c r="G204">
        <v>1822314.66</v>
      </c>
      <c r="H204">
        <v>748040.3</v>
      </c>
      <c r="I204">
        <v>839913.37</v>
      </c>
      <c r="J204">
        <v>276486.12</v>
      </c>
      <c r="K204">
        <v>94</v>
      </c>
      <c r="L204">
        <v>5</v>
      </c>
      <c r="M204">
        <v>379</v>
      </c>
      <c r="N204">
        <v>6</v>
      </c>
      <c r="O204">
        <v>25</v>
      </c>
      <c r="P204">
        <v>213771.58</v>
      </c>
      <c r="Q204">
        <v>108.74</v>
      </c>
      <c r="R204">
        <v>105.77</v>
      </c>
      <c r="S204">
        <v>0</v>
      </c>
      <c r="T204">
        <v>1</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1</v>
      </c>
    </row>
    <row r="205" spans="4:42" x14ac:dyDescent="0.45">
      <c r="D205">
        <v>2022</v>
      </c>
      <c r="E205">
        <v>11</v>
      </c>
      <c r="F205">
        <v>22770000</v>
      </c>
      <c r="G205">
        <v>1928278.36</v>
      </c>
      <c r="H205">
        <v>1583265.14</v>
      </c>
      <c r="I205">
        <v>391490.05</v>
      </c>
      <c r="J205">
        <v>38806.99</v>
      </c>
      <c r="K205">
        <v>177</v>
      </c>
      <c r="L205">
        <v>14</v>
      </c>
      <c r="M205">
        <v>711</v>
      </c>
      <c r="N205">
        <v>6</v>
      </c>
      <c r="O205">
        <v>30</v>
      </c>
      <c r="P205">
        <v>380927.83</v>
      </c>
      <c r="Q205">
        <v>107.8</v>
      </c>
      <c r="R205">
        <v>106.45</v>
      </c>
      <c r="S205">
        <v>0</v>
      </c>
      <c r="T205">
        <v>1</v>
      </c>
      <c r="U205">
        <v>0</v>
      </c>
      <c r="V205">
        <v>0</v>
      </c>
      <c r="W205">
        <v>0</v>
      </c>
      <c r="X205">
        <v>0</v>
      </c>
      <c r="Y205">
        <v>0</v>
      </c>
      <c r="Z205">
        <v>0</v>
      </c>
      <c r="AA205">
        <v>0</v>
      </c>
      <c r="AB205">
        <v>0</v>
      </c>
      <c r="AC205">
        <v>0</v>
      </c>
      <c r="AD205">
        <v>0</v>
      </c>
      <c r="AE205">
        <v>0</v>
      </c>
      <c r="AF205">
        <v>1</v>
      </c>
      <c r="AG205">
        <v>0</v>
      </c>
      <c r="AH205">
        <v>0</v>
      </c>
      <c r="AI205">
        <v>0</v>
      </c>
      <c r="AJ205">
        <v>0</v>
      </c>
      <c r="AK205">
        <v>0</v>
      </c>
      <c r="AL205">
        <v>0</v>
      </c>
      <c r="AM205">
        <v>0</v>
      </c>
      <c r="AN205">
        <v>0</v>
      </c>
      <c r="AO205">
        <v>0</v>
      </c>
      <c r="AP205">
        <v>0</v>
      </c>
    </row>
    <row r="206" spans="4:42" x14ac:dyDescent="0.45">
      <c r="D206">
        <v>2022</v>
      </c>
      <c r="E206">
        <v>11</v>
      </c>
      <c r="F206">
        <v>4347000</v>
      </c>
      <c r="G206">
        <v>366026.96</v>
      </c>
      <c r="H206">
        <v>307189.64</v>
      </c>
      <c r="I206">
        <v>59767.48</v>
      </c>
      <c r="J206">
        <v>4710.37</v>
      </c>
      <c r="K206">
        <v>33</v>
      </c>
      <c r="L206">
        <v>0</v>
      </c>
      <c r="M206">
        <v>48</v>
      </c>
      <c r="N206">
        <v>2</v>
      </c>
      <c r="O206">
        <v>15</v>
      </c>
      <c r="P206">
        <v>23333.52</v>
      </c>
      <c r="Q206">
        <v>111.49</v>
      </c>
      <c r="R206">
        <v>106.48</v>
      </c>
      <c r="S206">
        <v>0</v>
      </c>
      <c r="T206">
        <v>1</v>
      </c>
      <c r="U206">
        <v>0</v>
      </c>
      <c r="V206">
        <v>0</v>
      </c>
      <c r="W206">
        <v>0</v>
      </c>
      <c r="X206">
        <v>0</v>
      </c>
      <c r="Y206">
        <v>0</v>
      </c>
      <c r="Z206">
        <v>0</v>
      </c>
      <c r="AA206">
        <v>0</v>
      </c>
      <c r="AB206">
        <v>0</v>
      </c>
      <c r="AC206">
        <v>0</v>
      </c>
      <c r="AD206">
        <v>0</v>
      </c>
      <c r="AE206">
        <v>0</v>
      </c>
      <c r="AF206">
        <v>0</v>
      </c>
      <c r="AG206">
        <v>0</v>
      </c>
      <c r="AH206">
        <v>0</v>
      </c>
      <c r="AI206">
        <v>0</v>
      </c>
      <c r="AJ206">
        <v>0</v>
      </c>
      <c r="AK206">
        <v>0</v>
      </c>
      <c r="AL206">
        <v>1</v>
      </c>
      <c r="AM206">
        <v>0</v>
      </c>
      <c r="AN206">
        <v>0</v>
      </c>
      <c r="AO206">
        <v>0</v>
      </c>
      <c r="AP206">
        <v>0</v>
      </c>
    </row>
    <row r="207" spans="4:42" x14ac:dyDescent="0.45">
      <c r="D207">
        <v>2022</v>
      </c>
      <c r="E207">
        <v>11</v>
      </c>
      <c r="F207">
        <v>4968000</v>
      </c>
      <c r="G207">
        <v>426539.45</v>
      </c>
      <c r="H207">
        <v>352697.04</v>
      </c>
      <c r="I207">
        <v>64011.42</v>
      </c>
      <c r="J207">
        <v>8524.5499999999993</v>
      </c>
      <c r="K207">
        <v>36</v>
      </c>
      <c r="L207">
        <v>3</v>
      </c>
      <c r="M207">
        <v>59</v>
      </c>
      <c r="N207">
        <v>2</v>
      </c>
      <c r="O207">
        <v>17</v>
      </c>
      <c r="P207">
        <v>34424.75</v>
      </c>
      <c r="Q207">
        <v>107.87</v>
      </c>
      <c r="R207">
        <v>105.9</v>
      </c>
      <c r="S207">
        <v>0</v>
      </c>
      <c r="T207">
        <v>1</v>
      </c>
      <c r="U207">
        <v>0</v>
      </c>
      <c r="V207">
        <v>0</v>
      </c>
      <c r="W207">
        <v>0</v>
      </c>
      <c r="X207">
        <v>0</v>
      </c>
      <c r="Y207">
        <v>0</v>
      </c>
      <c r="Z207">
        <v>0</v>
      </c>
      <c r="AA207">
        <v>0</v>
      </c>
      <c r="AB207">
        <v>0</v>
      </c>
      <c r="AC207">
        <v>0</v>
      </c>
      <c r="AD207">
        <v>1</v>
      </c>
      <c r="AE207">
        <v>0</v>
      </c>
      <c r="AF207">
        <v>0</v>
      </c>
      <c r="AG207">
        <v>0</v>
      </c>
      <c r="AH207">
        <v>0</v>
      </c>
      <c r="AI207">
        <v>0</v>
      </c>
      <c r="AJ207">
        <v>0</v>
      </c>
      <c r="AK207">
        <v>0</v>
      </c>
      <c r="AL207">
        <v>0</v>
      </c>
      <c r="AM207">
        <v>0</v>
      </c>
      <c r="AN207">
        <v>0</v>
      </c>
      <c r="AO207">
        <v>0</v>
      </c>
      <c r="AP207">
        <v>0</v>
      </c>
    </row>
    <row r="208" spans="4:42" x14ac:dyDescent="0.45">
      <c r="D208">
        <v>2022</v>
      </c>
      <c r="E208">
        <v>11</v>
      </c>
      <c r="F208">
        <v>8280000</v>
      </c>
      <c r="G208">
        <v>711627.07</v>
      </c>
      <c r="H208">
        <v>441029.9</v>
      </c>
      <c r="I208">
        <v>230613.33</v>
      </c>
      <c r="J208">
        <v>27473.54</v>
      </c>
      <c r="K208">
        <v>64</v>
      </c>
      <c r="L208">
        <v>1</v>
      </c>
      <c r="M208">
        <v>118</v>
      </c>
      <c r="N208">
        <v>3</v>
      </c>
      <c r="O208">
        <v>16</v>
      </c>
      <c r="P208">
        <v>48545.79</v>
      </c>
      <c r="Q208">
        <v>111.12</v>
      </c>
      <c r="R208">
        <v>105.77</v>
      </c>
      <c r="S208">
        <v>0</v>
      </c>
      <c r="T208">
        <v>1</v>
      </c>
      <c r="U208">
        <v>0</v>
      </c>
      <c r="V208">
        <v>0</v>
      </c>
      <c r="W208">
        <v>0</v>
      </c>
      <c r="X208">
        <v>0</v>
      </c>
      <c r="Y208">
        <v>0</v>
      </c>
      <c r="Z208">
        <v>0</v>
      </c>
      <c r="AA208">
        <v>0</v>
      </c>
      <c r="AB208">
        <v>0</v>
      </c>
      <c r="AC208">
        <v>0</v>
      </c>
      <c r="AD208">
        <v>0</v>
      </c>
      <c r="AE208">
        <v>0</v>
      </c>
      <c r="AF208">
        <v>0</v>
      </c>
      <c r="AG208">
        <v>0</v>
      </c>
      <c r="AH208">
        <v>0</v>
      </c>
      <c r="AI208">
        <v>0</v>
      </c>
      <c r="AJ208">
        <v>1</v>
      </c>
      <c r="AK208">
        <v>0</v>
      </c>
      <c r="AL208">
        <v>0</v>
      </c>
      <c r="AM208">
        <v>0</v>
      </c>
      <c r="AN208">
        <v>0</v>
      </c>
      <c r="AO208">
        <v>0</v>
      </c>
      <c r="AP208">
        <v>0</v>
      </c>
    </row>
    <row r="209" spans="4:42" x14ac:dyDescent="0.45">
      <c r="D209">
        <v>2022</v>
      </c>
      <c r="E209">
        <v>11</v>
      </c>
      <c r="F209">
        <v>3622000</v>
      </c>
      <c r="G209">
        <v>315756.79999999999</v>
      </c>
      <c r="H209">
        <v>267623.18</v>
      </c>
      <c r="I209">
        <v>40728.410000000003</v>
      </c>
      <c r="J209">
        <v>1832.79</v>
      </c>
      <c r="K209">
        <v>28</v>
      </c>
      <c r="L209">
        <v>4</v>
      </c>
      <c r="M209">
        <v>31</v>
      </c>
      <c r="N209">
        <v>3</v>
      </c>
      <c r="O209">
        <v>17</v>
      </c>
      <c r="P209">
        <v>31747.65</v>
      </c>
      <c r="Q209">
        <v>108.87</v>
      </c>
      <c r="R209">
        <v>106.13</v>
      </c>
      <c r="S209">
        <v>0</v>
      </c>
      <c r="T209">
        <v>1</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row>
    <row r="210" spans="4:42" x14ac:dyDescent="0.45">
      <c r="D210">
        <v>2022</v>
      </c>
      <c r="E210">
        <v>11</v>
      </c>
      <c r="F210">
        <v>25875000</v>
      </c>
      <c r="G210">
        <v>2271392.96</v>
      </c>
      <c r="H210">
        <v>1739057.06</v>
      </c>
      <c r="I210">
        <v>430483.52</v>
      </c>
      <c r="J210">
        <v>83622.31</v>
      </c>
      <c r="K210">
        <v>210</v>
      </c>
      <c r="L210">
        <v>19</v>
      </c>
      <c r="M210">
        <v>789</v>
      </c>
      <c r="N210">
        <v>10</v>
      </c>
      <c r="O210">
        <v>36</v>
      </c>
      <c r="P210">
        <v>795474.04</v>
      </c>
      <c r="Q210">
        <v>109.24</v>
      </c>
      <c r="R210">
        <v>105.62</v>
      </c>
      <c r="S210">
        <v>0</v>
      </c>
      <c r="T210">
        <v>1</v>
      </c>
      <c r="U210">
        <v>0</v>
      </c>
      <c r="V210">
        <v>0</v>
      </c>
      <c r="W210">
        <v>0</v>
      </c>
      <c r="X210">
        <v>0</v>
      </c>
      <c r="Y210">
        <v>0</v>
      </c>
      <c r="Z210">
        <v>0</v>
      </c>
      <c r="AA210">
        <v>0</v>
      </c>
      <c r="AB210">
        <v>0</v>
      </c>
      <c r="AC210">
        <v>0</v>
      </c>
      <c r="AD210">
        <v>0</v>
      </c>
      <c r="AE210">
        <v>0</v>
      </c>
      <c r="AF210">
        <v>0</v>
      </c>
      <c r="AG210">
        <v>0</v>
      </c>
      <c r="AH210">
        <v>0</v>
      </c>
      <c r="AI210">
        <v>0</v>
      </c>
      <c r="AJ210">
        <v>0</v>
      </c>
      <c r="AK210">
        <v>0</v>
      </c>
      <c r="AL210">
        <v>0</v>
      </c>
      <c r="AM210">
        <v>1</v>
      </c>
      <c r="AN210">
        <v>0</v>
      </c>
      <c r="AO210">
        <v>0</v>
      </c>
      <c r="AP210">
        <v>0</v>
      </c>
    </row>
    <row r="211" spans="4:42" x14ac:dyDescent="0.45">
      <c r="D211">
        <v>2022</v>
      </c>
      <c r="E211">
        <v>12</v>
      </c>
      <c r="F211">
        <v>4968000</v>
      </c>
      <c r="G211">
        <v>424697.5</v>
      </c>
      <c r="H211">
        <v>349862.2</v>
      </c>
      <c r="I211">
        <v>65395.519999999997</v>
      </c>
      <c r="J211">
        <v>9862.2999999999993</v>
      </c>
      <c r="K211">
        <v>37</v>
      </c>
      <c r="L211">
        <v>0</v>
      </c>
      <c r="M211">
        <v>78</v>
      </c>
      <c r="N211">
        <v>2</v>
      </c>
      <c r="O211">
        <v>15</v>
      </c>
      <c r="P211">
        <v>22378.07</v>
      </c>
      <c r="Q211">
        <v>108.91</v>
      </c>
      <c r="R211">
        <v>106.28</v>
      </c>
      <c r="S211">
        <v>0</v>
      </c>
      <c r="T211">
        <v>0</v>
      </c>
      <c r="U211">
        <v>0</v>
      </c>
      <c r="V211">
        <v>0</v>
      </c>
      <c r="W211">
        <v>0</v>
      </c>
      <c r="X211">
        <v>0</v>
      </c>
      <c r="Y211">
        <v>0</v>
      </c>
      <c r="Z211">
        <v>0</v>
      </c>
      <c r="AA211">
        <v>0</v>
      </c>
      <c r="AB211">
        <v>0</v>
      </c>
      <c r="AC211">
        <v>1</v>
      </c>
      <c r="AD211">
        <v>1</v>
      </c>
      <c r="AE211">
        <v>0</v>
      </c>
      <c r="AF211">
        <v>0</v>
      </c>
      <c r="AG211">
        <v>0</v>
      </c>
      <c r="AH211">
        <v>0</v>
      </c>
      <c r="AI211">
        <v>0</v>
      </c>
      <c r="AJ211">
        <v>0</v>
      </c>
      <c r="AK211">
        <v>0</v>
      </c>
      <c r="AL211">
        <v>0</v>
      </c>
      <c r="AM211">
        <v>0</v>
      </c>
      <c r="AN211">
        <v>0</v>
      </c>
      <c r="AO211">
        <v>0</v>
      </c>
      <c r="AP211">
        <v>0</v>
      </c>
    </row>
    <row r="212" spans="4:42" x14ac:dyDescent="0.45">
      <c r="D212">
        <v>2022</v>
      </c>
      <c r="E212">
        <v>12</v>
      </c>
      <c r="F212">
        <v>4347000</v>
      </c>
      <c r="G212">
        <v>424209.24</v>
      </c>
      <c r="H212">
        <v>311536.90999999997</v>
      </c>
      <c r="I212">
        <v>63632.89</v>
      </c>
      <c r="J212">
        <v>38386.639999999999</v>
      </c>
      <c r="K212">
        <v>34</v>
      </c>
      <c r="L212">
        <v>7</v>
      </c>
      <c r="M212">
        <v>23</v>
      </c>
      <c r="N212">
        <v>0</v>
      </c>
      <c r="O212">
        <v>9</v>
      </c>
      <c r="P212">
        <v>7162.31</v>
      </c>
      <c r="Q212">
        <v>111.63</v>
      </c>
      <c r="R212">
        <v>106.59</v>
      </c>
      <c r="S212">
        <v>0</v>
      </c>
      <c r="T212">
        <v>0</v>
      </c>
      <c r="U212">
        <v>0</v>
      </c>
      <c r="V212">
        <v>0</v>
      </c>
      <c r="W212">
        <v>0</v>
      </c>
      <c r="X212">
        <v>0</v>
      </c>
      <c r="Y212">
        <v>0</v>
      </c>
      <c r="Z212">
        <v>0</v>
      </c>
      <c r="AA212">
        <v>0</v>
      </c>
      <c r="AB212">
        <v>0</v>
      </c>
      <c r="AC212">
        <v>1</v>
      </c>
      <c r="AD212">
        <v>0</v>
      </c>
      <c r="AE212">
        <v>0</v>
      </c>
      <c r="AF212">
        <v>0</v>
      </c>
      <c r="AG212">
        <v>0</v>
      </c>
      <c r="AH212">
        <v>0</v>
      </c>
      <c r="AI212">
        <v>0</v>
      </c>
      <c r="AJ212">
        <v>0</v>
      </c>
      <c r="AK212">
        <v>0</v>
      </c>
      <c r="AL212">
        <v>1</v>
      </c>
      <c r="AM212">
        <v>0</v>
      </c>
      <c r="AN212">
        <v>0</v>
      </c>
      <c r="AO212">
        <v>0</v>
      </c>
      <c r="AP212">
        <v>0</v>
      </c>
    </row>
    <row r="213" spans="4:42" x14ac:dyDescent="0.45">
      <c r="D213">
        <v>2022</v>
      </c>
      <c r="E213">
        <v>12</v>
      </c>
      <c r="F213">
        <v>25875000</v>
      </c>
      <c r="G213">
        <v>2238369.31</v>
      </c>
      <c r="H213">
        <v>1710211.18</v>
      </c>
      <c r="I213">
        <v>400414.78</v>
      </c>
      <c r="J213">
        <v>29643.06</v>
      </c>
      <c r="K213">
        <v>204</v>
      </c>
      <c r="L213">
        <v>15</v>
      </c>
      <c r="M213">
        <v>1032</v>
      </c>
      <c r="N213">
        <v>7</v>
      </c>
      <c r="O213">
        <v>34</v>
      </c>
      <c r="P213">
        <v>503677.92</v>
      </c>
      <c r="Q213">
        <v>111.45</v>
      </c>
      <c r="R213">
        <v>106.25</v>
      </c>
      <c r="S213">
        <v>0</v>
      </c>
      <c r="T213">
        <v>0</v>
      </c>
      <c r="U213">
        <v>0</v>
      </c>
      <c r="V213">
        <v>0</v>
      </c>
      <c r="W213">
        <v>0</v>
      </c>
      <c r="X213">
        <v>0</v>
      </c>
      <c r="Y213">
        <v>0</v>
      </c>
      <c r="Z213">
        <v>0</v>
      </c>
      <c r="AA213">
        <v>0</v>
      </c>
      <c r="AB213">
        <v>0</v>
      </c>
      <c r="AC213">
        <v>1</v>
      </c>
      <c r="AD213">
        <v>0</v>
      </c>
      <c r="AE213">
        <v>0</v>
      </c>
      <c r="AF213">
        <v>0</v>
      </c>
      <c r="AG213">
        <v>0</v>
      </c>
      <c r="AH213">
        <v>0</v>
      </c>
      <c r="AI213">
        <v>0</v>
      </c>
      <c r="AJ213">
        <v>0</v>
      </c>
      <c r="AK213">
        <v>0</v>
      </c>
      <c r="AL213">
        <v>0</v>
      </c>
      <c r="AM213">
        <v>1</v>
      </c>
      <c r="AN213">
        <v>0</v>
      </c>
      <c r="AO213">
        <v>0</v>
      </c>
      <c r="AP213">
        <v>0</v>
      </c>
    </row>
    <row r="214" spans="4:42" x14ac:dyDescent="0.45">
      <c r="D214">
        <v>2022</v>
      </c>
      <c r="E214">
        <v>12</v>
      </c>
      <c r="F214">
        <v>22770000</v>
      </c>
      <c r="G214">
        <v>1877846.39</v>
      </c>
      <c r="H214">
        <v>1476367.69</v>
      </c>
      <c r="I214">
        <v>349560.46</v>
      </c>
      <c r="J214">
        <v>37480.5</v>
      </c>
      <c r="K214">
        <v>175</v>
      </c>
      <c r="L214">
        <v>13</v>
      </c>
      <c r="M214">
        <v>667</v>
      </c>
      <c r="N214">
        <v>8</v>
      </c>
      <c r="O214">
        <v>30</v>
      </c>
      <c r="P214">
        <v>505033.26</v>
      </c>
      <c r="Q214">
        <v>112.87</v>
      </c>
      <c r="R214">
        <v>106.05</v>
      </c>
      <c r="S214">
        <v>0</v>
      </c>
      <c r="T214">
        <v>0</v>
      </c>
      <c r="U214">
        <v>0</v>
      </c>
      <c r="V214">
        <v>0</v>
      </c>
      <c r="W214">
        <v>0</v>
      </c>
      <c r="X214">
        <v>0</v>
      </c>
      <c r="Y214">
        <v>0</v>
      </c>
      <c r="Z214">
        <v>0</v>
      </c>
      <c r="AA214">
        <v>0</v>
      </c>
      <c r="AB214">
        <v>0</v>
      </c>
      <c r="AC214">
        <v>1</v>
      </c>
      <c r="AD214">
        <v>0</v>
      </c>
      <c r="AE214">
        <v>0</v>
      </c>
      <c r="AF214">
        <v>1</v>
      </c>
      <c r="AG214">
        <v>0</v>
      </c>
      <c r="AH214">
        <v>0</v>
      </c>
      <c r="AI214">
        <v>0</v>
      </c>
      <c r="AJ214">
        <v>0</v>
      </c>
      <c r="AK214">
        <v>0</v>
      </c>
      <c r="AL214">
        <v>0</v>
      </c>
      <c r="AM214">
        <v>0</v>
      </c>
      <c r="AN214">
        <v>0</v>
      </c>
      <c r="AO214">
        <v>0</v>
      </c>
      <c r="AP214">
        <v>0</v>
      </c>
    </row>
    <row r="215" spans="4:42" x14ac:dyDescent="0.45">
      <c r="D215">
        <v>2022</v>
      </c>
      <c r="E215">
        <v>12</v>
      </c>
      <c r="F215">
        <v>8280000</v>
      </c>
      <c r="G215">
        <v>714554.92</v>
      </c>
      <c r="H215">
        <v>452965.51</v>
      </c>
      <c r="I215">
        <v>217932.18</v>
      </c>
      <c r="J215">
        <v>29149.599999999999</v>
      </c>
      <c r="K215">
        <v>66</v>
      </c>
      <c r="L215">
        <v>4</v>
      </c>
      <c r="M215">
        <v>52</v>
      </c>
      <c r="N215">
        <v>2</v>
      </c>
      <c r="O215">
        <v>13</v>
      </c>
      <c r="P215">
        <v>41153.599999999999</v>
      </c>
      <c r="Q215">
        <v>111.94</v>
      </c>
      <c r="R215">
        <v>106.73</v>
      </c>
      <c r="S215">
        <v>0</v>
      </c>
      <c r="T215">
        <v>0</v>
      </c>
      <c r="U215">
        <v>0</v>
      </c>
      <c r="V215">
        <v>0</v>
      </c>
      <c r="W215">
        <v>0</v>
      </c>
      <c r="X215">
        <v>0</v>
      </c>
      <c r="Y215">
        <v>0</v>
      </c>
      <c r="Z215">
        <v>0</v>
      </c>
      <c r="AA215">
        <v>0</v>
      </c>
      <c r="AB215">
        <v>0</v>
      </c>
      <c r="AC215">
        <v>1</v>
      </c>
      <c r="AD215">
        <v>0</v>
      </c>
      <c r="AE215">
        <v>0</v>
      </c>
      <c r="AF215">
        <v>0</v>
      </c>
      <c r="AG215">
        <v>0</v>
      </c>
      <c r="AH215">
        <v>0</v>
      </c>
      <c r="AI215">
        <v>0</v>
      </c>
      <c r="AJ215">
        <v>1</v>
      </c>
      <c r="AK215">
        <v>0</v>
      </c>
      <c r="AL215">
        <v>0</v>
      </c>
      <c r="AM215">
        <v>0</v>
      </c>
      <c r="AN215">
        <v>0</v>
      </c>
      <c r="AO215">
        <v>0</v>
      </c>
      <c r="AP215">
        <v>0</v>
      </c>
    </row>
    <row r="216" spans="4:42" x14ac:dyDescent="0.45">
      <c r="D216">
        <v>2022</v>
      </c>
      <c r="E216">
        <v>12</v>
      </c>
      <c r="F216">
        <v>6417000</v>
      </c>
      <c r="G216">
        <v>505655.93</v>
      </c>
      <c r="H216">
        <v>267958.17</v>
      </c>
      <c r="I216">
        <v>226564.53</v>
      </c>
      <c r="J216">
        <v>33044.28</v>
      </c>
      <c r="K216">
        <v>30</v>
      </c>
      <c r="L216">
        <v>1</v>
      </c>
      <c r="M216">
        <v>57</v>
      </c>
      <c r="N216">
        <v>1</v>
      </c>
      <c r="O216">
        <v>9</v>
      </c>
      <c r="P216">
        <v>26150.959999999999</v>
      </c>
      <c r="Q216">
        <v>106.05</v>
      </c>
      <c r="R216">
        <v>106.43</v>
      </c>
      <c r="S216">
        <v>0</v>
      </c>
      <c r="T216">
        <v>0</v>
      </c>
      <c r="U216">
        <v>0</v>
      </c>
      <c r="V216">
        <v>0</v>
      </c>
      <c r="W216">
        <v>0</v>
      </c>
      <c r="X216">
        <v>0</v>
      </c>
      <c r="Y216">
        <v>0</v>
      </c>
      <c r="Z216">
        <v>0</v>
      </c>
      <c r="AA216">
        <v>0</v>
      </c>
      <c r="AB216">
        <v>0</v>
      </c>
      <c r="AC216">
        <v>1</v>
      </c>
      <c r="AD216">
        <v>0</v>
      </c>
      <c r="AE216">
        <v>0</v>
      </c>
      <c r="AF216">
        <v>0</v>
      </c>
      <c r="AG216">
        <v>0</v>
      </c>
      <c r="AH216">
        <v>1</v>
      </c>
      <c r="AI216">
        <v>0</v>
      </c>
      <c r="AJ216">
        <v>0</v>
      </c>
      <c r="AK216">
        <v>0</v>
      </c>
      <c r="AL216">
        <v>0</v>
      </c>
      <c r="AM216">
        <v>0</v>
      </c>
      <c r="AN216">
        <v>0</v>
      </c>
      <c r="AO216">
        <v>0</v>
      </c>
      <c r="AP216">
        <v>0</v>
      </c>
    </row>
    <row r="217" spans="4:42" x14ac:dyDescent="0.45">
      <c r="D217">
        <v>2022</v>
      </c>
      <c r="E217">
        <v>12</v>
      </c>
      <c r="F217">
        <v>7555000</v>
      </c>
      <c r="G217">
        <v>620278.96</v>
      </c>
      <c r="H217">
        <v>329830.78999999998</v>
      </c>
      <c r="I217">
        <v>247588.46</v>
      </c>
      <c r="J217">
        <v>33188.67</v>
      </c>
      <c r="K217">
        <v>44</v>
      </c>
      <c r="L217">
        <v>6</v>
      </c>
      <c r="M217">
        <v>63</v>
      </c>
      <c r="N217">
        <v>0</v>
      </c>
      <c r="O217">
        <v>15</v>
      </c>
      <c r="P217">
        <v>21400.48</v>
      </c>
      <c r="Q217">
        <v>109.89</v>
      </c>
      <c r="R217">
        <v>106.15</v>
      </c>
      <c r="S217">
        <v>0</v>
      </c>
      <c r="T217">
        <v>0</v>
      </c>
      <c r="U217">
        <v>0</v>
      </c>
      <c r="V217">
        <v>0</v>
      </c>
      <c r="W217">
        <v>0</v>
      </c>
      <c r="X217">
        <v>0</v>
      </c>
      <c r="Y217">
        <v>0</v>
      </c>
      <c r="Z217">
        <v>0</v>
      </c>
      <c r="AA217">
        <v>0</v>
      </c>
      <c r="AB217">
        <v>0</v>
      </c>
      <c r="AC217">
        <v>1</v>
      </c>
      <c r="AD217">
        <v>0</v>
      </c>
      <c r="AE217">
        <v>0</v>
      </c>
      <c r="AF217">
        <v>0</v>
      </c>
      <c r="AG217">
        <v>1</v>
      </c>
      <c r="AH217">
        <v>0</v>
      </c>
      <c r="AI217">
        <v>0</v>
      </c>
      <c r="AJ217">
        <v>0</v>
      </c>
      <c r="AK217">
        <v>0</v>
      </c>
      <c r="AL217">
        <v>0</v>
      </c>
      <c r="AM217">
        <v>0</v>
      </c>
      <c r="AN217">
        <v>0</v>
      </c>
      <c r="AO217">
        <v>0</v>
      </c>
      <c r="AP217">
        <v>0</v>
      </c>
    </row>
    <row r="218" spans="4:42" x14ac:dyDescent="0.45">
      <c r="D218">
        <v>2022</v>
      </c>
      <c r="E218">
        <v>12</v>
      </c>
      <c r="F218">
        <v>19665000</v>
      </c>
      <c r="G218">
        <v>1637580.54</v>
      </c>
      <c r="H218">
        <v>766812.06</v>
      </c>
      <c r="I218">
        <v>864186.39</v>
      </c>
      <c r="J218">
        <v>55468.42</v>
      </c>
      <c r="K218">
        <v>94</v>
      </c>
      <c r="L218">
        <v>8</v>
      </c>
      <c r="M218">
        <v>369</v>
      </c>
      <c r="N218">
        <v>9</v>
      </c>
      <c r="O218">
        <v>37</v>
      </c>
      <c r="P218">
        <v>443705.53</v>
      </c>
      <c r="Q218">
        <v>109</v>
      </c>
      <c r="R218">
        <v>105.81</v>
      </c>
      <c r="S218">
        <v>0</v>
      </c>
      <c r="T218">
        <v>0</v>
      </c>
      <c r="U218">
        <v>0</v>
      </c>
      <c r="V218">
        <v>0</v>
      </c>
      <c r="W218">
        <v>0</v>
      </c>
      <c r="X218">
        <v>0</v>
      </c>
      <c r="Y218">
        <v>0</v>
      </c>
      <c r="Z218">
        <v>0</v>
      </c>
      <c r="AA218">
        <v>0</v>
      </c>
      <c r="AB218">
        <v>0</v>
      </c>
      <c r="AC218">
        <v>1</v>
      </c>
      <c r="AD218">
        <v>0</v>
      </c>
      <c r="AE218">
        <v>0</v>
      </c>
      <c r="AF218">
        <v>0</v>
      </c>
      <c r="AG218">
        <v>0</v>
      </c>
      <c r="AH218">
        <v>0</v>
      </c>
      <c r="AI218">
        <v>0</v>
      </c>
      <c r="AJ218">
        <v>0</v>
      </c>
      <c r="AK218">
        <v>0</v>
      </c>
      <c r="AL218">
        <v>0</v>
      </c>
      <c r="AM218">
        <v>0</v>
      </c>
      <c r="AN218">
        <v>0</v>
      </c>
      <c r="AO218">
        <v>0</v>
      </c>
      <c r="AP218">
        <v>1</v>
      </c>
    </row>
    <row r="219" spans="4:42" x14ac:dyDescent="0.45">
      <c r="D219">
        <v>2022</v>
      </c>
      <c r="E219">
        <v>12</v>
      </c>
      <c r="F219">
        <v>13972000</v>
      </c>
      <c r="G219">
        <v>1096352.53</v>
      </c>
      <c r="H219">
        <v>588589.96</v>
      </c>
      <c r="I219">
        <v>458347.26</v>
      </c>
      <c r="J219">
        <v>31973</v>
      </c>
      <c r="K219">
        <v>79</v>
      </c>
      <c r="L219">
        <v>3</v>
      </c>
      <c r="M219">
        <v>150</v>
      </c>
      <c r="N219">
        <v>7</v>
      </c>
      <c r="O219">
        <v>21</v>
      </c>
      <c r="P219">
        <v>282766.25</v>
      </c>
      <c r="Q219">
        <v>107.59</v>
      </c>
      <c r="R219">
        <v>105.92</v>
      </c>
      <c r="S219">
        <v>0</v>
      </c>
      <c r="T219">
        <v>0</v>
      </c>
      <c r="U219">
        <v>0</v>
      </c>
      <c r="V219">
        <v>0</v>
      </c>
      <c r="W219">
        <v>0</v>
      </c>
      <c r="X219">
        <v>0</v>
      </c>
      <c r="Y219">
        <v>0</v>
      </c>
      <c r="Z219">
        <v>0</v>
      </c>
      <c r="AA219">
        <v>0</v>
      </c>
      <c r="AB219">
        <v>0</v>
      </c>
      <c r="AC219">
        <v>1</v>
      </c>
      <c r="AD219">
        <v>0</v>
      </c>
      <c r="AE219">
        <v>0</v>
      </c>
      <c r="AF219">
        <v>0</v>
      </c>
      <c r="AG219">
        <v>0</v>
      </c>
      <c r="AH219">
        <v>0</v>
      </c>
      <c r="AI219">
        <v>0</v>
      </c>
      <c r="AJ219">
        <v>0</v>
      </c>
      <c r="AK219">
        <v>0</v>
      </c>
      <c r="AL219">
        <v>0</v>
      </c>
      <c r="AM219">
        <v>0</v>
      </c>
      <c r="AN219">
        <v>1</v>
      </c>
      <c r="AO219">
        <v>0</v>
      </c>
      <c r="AP219">
        <v>0</v>
      </c>
    </row>
    <row r="220" spans="4:42" x14ac:dyDescent="0.45">
      <c r="D220">
        <v>2022</v>
      </c>
      <c r="E220">
        <v>12</v>
      </c>
      <c r="F220">
        <v>3622000</v>
      </c>
      <c r="G220">
        <v>315668.68</v>
      </c>
      <c r="H220">
        <v>267231.69</v>
      </c>
      <c r="I220">
        <v>44657.55</v>
      </c>
      <c r="J220">
        <v>5978.65</v>
      </c>
      <c r="K220">
        <v>28</v>
      </c>
      <c r="L220">
        <v>2</v>
      </c>
      <c r="M220">
        <v>50</v>
      </c>
      <c r="N220">
        <v>3</v>
      </c>
      <c r="O220">
        <v>15</v>
      </c>
      <c r="P220">
        <v>27376.42</v>
      </c>
      <c r="Q220">
        <v>108.31</v>
      </c>
      <c r="R220">
        <v>106.36</v>
      </c>
      <c r="S220">
        <v>0</v>
      </c>
      <c r="T220">
        <v>0</v>
      </c>
      <c r="U220">
        <v>0</v>
      </c>
      <c r="V220">
        <v>0</v>
      </c>
      <c r="W220">
        <v>0</v>
      </c>
      <c r="X220">
        <v>0</v>
      </c>
      <c r="Y220">
        <v>0</v>
      </c>
      <c r="Z220">
        <v>0</v>
      </c>
      <c r="AA220">
        <v>0</v>
      </c>
      <c r="AB220">
        <v>0</v>
      </c>
      <c r="AC220">
        <v>1</v>
      </c>
      <c r="AD220">
        <v>0</v>
      </c>
      <c r="AE220">
        <v>0</v>
      </c>
      <c r="AF220">
        <v>0</v>
      </c>
      <c r="AG220">
        <v>0</v>
      </c>
      <c r="AH220">
        <v>0</v>
      </c>
      <c r="AI220">
        <v>0</v>
      </c>
      <c r="AJ220">
        <v>0</v>
      </c>
      <c r="AK220">
        <v>0</v>
      </c>
      <c r="AL220">
        <v>0</v>
      </c>
      <c r="AM220">
        <v>0</v>
      </c>
      <c r="AN220">
        <v>0</v>
      </c>
      <c r="AO220">
        <v>0</v>
      </c>
      <c r="AP220">
        <v>0</v>
      </c>
    </row>
    <row r="221" spans="4:42" x14ac:dyDescent="0.45">
      <c r="D221">
        <v>2023</v>
      </c>
      <c r="E221">
        <v>1</v>
      </c>
      <c r="F221">
        <v>14462000</v>
      </c>
      <c r="G221">
        <v>1445655.28</v>
      </c>
      <c r="H221">
        <v>611709.42000000004</v>
      </c>
      <c r="I221">
        <v>565244.41</v>
      </c>
      <c r="J221">
        <v>254721.23</v>
      </c>
      <c r="K221">
        <v>82</v>
      </c>
      <c r="L221">
        <v>7</v>
      </c>
      <c r="M221">
        <v>105</v>
      </c>
      <c r="N221">
        <v>3</v>
      </c>
      <c r="O221">
        <v>22</v>
      </c>
      <c r="P221">
        <v>159213.54</v>
      </c>
      <c r="Q221">
        <v>108.55</v>
      </c>
      <c r="R221">
        <v>105.81</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1</v>
      </c>
      <c r="AP221">
        <v>0</v>
      </c>
    </row>
    <row r="222" spans="4:42" x14ac:dyDescent="0.45">
      <c r="D222">
        <v>2023</v>
      </c>
      <c r="E222">
        <v>1</v>
      </c>
      <c r="F222">
        <v>7820000</v>
      </c>
      <c r="G222">
        <v>617422.55000000005</v>
      </c>
      <c r="H222">
        <v>322267.94</v>
      </c>
      <c r="I222">
        <v>260630.5</v>
      </c>
      <c r="J222">
        <v>43628.28</v>
      </c>
      <c r="K222">
        <v>42</v>
      </c>
      <c r="L222">
        <v>5</v>
      </c>
      <c r="M222">
        <v>89</v>
      </c>
      <c r="N222">
        <v>2</v>
      </c>
      <c r="O222">
        <v>12</v>
      </c>
      <c r="P222">
        <v>43415.27</v>
      </c>
      <c r="Q222">
        <v>108.82</v>
      </c>
      <c r="R222">
        <v>106.01</v>
      </c>
      <c r="S222">
        <v>0</v>
      </c>
      <c r="T222">
        <v>0</v>
      </c>
      <c r="U222">
        <v>0</v>
      </c>
      <c r="V222">
        <v>0</v>
      </c>
      <c r="W222">
        <v>0</v>
      </c>
      <c r="X222">
        <v>0</v>
      </c>
      <c r="Y222">
        <v>0</v>
      </c>
      <c r="Z222">
        <v>0</v>
      </c>
      <c r="AA222">
        <v>0</v>
      </c>
      <c r="AB222">
        <v>0</v>
      </c>
      <c r="AC222">
        <v>0</v>
      </c>
      <c r="AD222">
        <v>0</v>
      </c>
      <c r="AE222">
        <v>0</v>
      </c>
      <c r="AF222">
        <v>0</v>
      </c>
      <c r="AG222">
        <v>1</v>
      </c>
      <c r="AH222">
        <v>0</v>
      </c>
      <c r="AI222">
        <v>0</v>
      </c>
      <c r="AJ222">
        <v>0</v>
      </c>
      <c r="AK222">
        <v>0</v>
      </c>
      <c r="AL222">
        <v>0</v>
      </c>
      <c r="AM222">
        <v>0</v>
      </c>
      <c r="AN222">
        <v>0</v>
      </c>
      <c r="AO222">
        <v>0</v>
      </c>
      <c r="AP222">
        <v>0</v>
      </c>
    </row>
    <row r="223" spans="4:42" x14ac:dyDescent="0.45">
      <c r="D223">
        <v>2023</v>
      </c>
      <c r="E223">
        <v>1</v>
      </c>
      <c r="F223">
        <v>6642000</v>
      </c>
      <c r="G223">
        <v>574833.76</v>
      </c>
      <c r="H223">
        <v>272071.32</v>
      </c>
      <c r="I223">
        <v>248210.2</v>
      </c>
      <c r="J223">
        <v>40760.68</v>
      </c>
      <c r="K223">
        <v>31</v>
      </c>
      <c r="L223">
        <v>0</v>
      </c>
      <c r="M223">
        <v>27</v>
      </c>
      <c r="N223">
        <v>5</v>
      </c>
      <c r="O223">
        <v>23</v>
      </c>
      <c r="P223">
        <v>87944.13</v>
      </c>
      <c r="Q223">
        <v>109.79</v>
      </c>
      <c r="R223">
        <v>105.85</v>
      </c>
      <c r="S223">
        <v>0</v>
      </c>
      <c r="T223">
        <v>0</v>
      </c>
      <c r="U223">
        <v>0</v>
      </c>
      <c r="V223">
        <v>0</v>
      </c>
      <c r="W223">
        <v>0</v>
      </c>
      <c r="X223">
        <v>0</v>
      </c>
      <c r="Y223">
        <v>0</v>
      </c>
      <c r="Z223">
        <v>0</v>
      </c>
      <c r="AA223">
        <v>0</v>
      </c>
      <c r="AB223">
        <v>0</v>
      </c>
      <c r="AC223">
        <v>0</v>
      </c>
      <c r="AD223">
        <v>0</v>
      </c>
      <c r="AE223">
        <v>0</v>
      </c>
      <c r="AF223">
        <v>0</v>
      </c>
      <c r="AG223">
        <v>0</v>
      </c>
      <c r="AH223">
        <v>1</v>
      </c>
      <c r="AI223">
        <v>0</v>
      </c>
      <c r="AJ223">
        <v>0</v>
      </c>
      <c r="AK223">
        <v>0</v>
      </c>
      <c r="AL223">
        <v>0</v>
      </c>
      <c r="AM223">
        <v>0</v>
      </c>
      <c r="AN223">
        <v>0</v>
      </c>
      <c r="AO223">
        <v>0</v>
      </c>
      <c r="AP223">
        <v>0</v>
      </c>
    </row>
    <row r="224" spans="4:42" x14ac:dyDescent="0.45">
      <c r="D224">
        <v>2023</v>
      </c>
      <c r="E224">
        <v>1</v>
      </c>
      <c r="F224">
        <v>4499000</v>
      </c>
      <c r="G224">
        <v>373262.17</v>
      </c>
      <c r="H224">
        <v>295444.46999999997</v>
      </c>
      <c r="I224">
        <v>71341.58</v>
      </c>
      <c r="J224">
        <v>9026.73</v>
      </c>
      <c r="K224">
        <v>31</v>
      </c>
      <c r="L224">
        <v>3</v>
      </c>
      <c r="M224">
        <v>34</v>
      </c>
      <c r="N224">
        <v>0</v>
      </c>
      <c r="O224">
        <v>7</v>
      </c>
      <c r="P224">
        <v>4867.87</v>
      </c>
      <c r="Q224">
        <v>107.88</v>
      </c>
      <c r="R224">
        <v>106.3</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1</v>
      </c>
      <c r="AM224">
        <v>0</v>
      </c>
      <c r="AN224">
        <v>0</v>
      </c>
      <c r="AO224">
        <v>0</v>
      </c>
      <c r="AP224">
        <v>0</v>
      </c>
    </row>
    <row r="225" spans="4:42" x14ac:dyDescent="0.45">
      <c r="D225">
        <v>2023</v>
      </c>
      <c r="E225">
        <v>1</v>
      </c>
      <c r="F225">
        <v>26781000</v>
      </c>
      <c r="G225">
        <v>2319283.94</v>
      </c>
      <c r="H225">
        <v>1675767.54</v>
      </c>
      <c r="I225">
        <v>623838.86</v>
      </c>
      <c r="J225">
        <v>58721.72</v>
      </c>
      <c r="K225">
        <v>207</v>
      </c>
      <c r="L225">
        <v>16</v>
      </c>
      <c r="M225">
        <v>888</v>
      </c>
      <c r="N225">
        <v>9</v>
      </c>
      <c r="O225">
        <v>41</v>
      </c>
      <c r="P225">
        <v>727451.9</v>
      </c>
      <c r="Q225">
        <v>109.98</v>
      </c>
      <c r="R225">
        <v>106.56</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1</v>
      </c>
      <c r="AN225">
        <v>0</v>
      </c>
      <c r="AO225">
        <v>0</v>
      </c>
      <c r="AP225">
        <v>0</v>
      </c>
    </row>
    <row r="226" spans="4:42" x14ac:dyDescent="0.45">
      <c r="D226">
        <v>2023</v>
      </c>
      <c r="E226">
        <v>1</v>
      </c>
      <c r="F226">
        <v>5142000</v>
      </c>
      <c r="G226">
        <v>447017.53</v>
      </c>
      <c r="H226">
        <v>359344.63</v>
      </c>
      <c r="I226">
        <v>68183.69</v>
      </c>
      <c r="J226">
        <v>32263.81</v>
      </c>
      <c r="K226">
        <v>35</v>
      </c>
      <c r="L226">
        <v>2</v>
      </c>
      <c r="M226">
        <v>87</v>
      </c>
      <c r="N226">
        <v>3</v>
      </c>
      <c r="O226">
        <v>17</v>
      </c>
      <c r="P226">
        <v>49402.71</v>
      </c>
      <c r="Q226">
        <v>111.27</v>
      </c>
      <c r="R226">
        <v>105.84</v>
      </c>
      <c r="S226">
        <v>0</v>
      </c>
      <c r="T226">
        <v>0</v>
      </c>
      <c r="U226">
        <v>0</v>
      </c>
      <c r="V226">
        <v>0</v>
      </c>
      <c r="W226">
        <v>0</v>
      </c>
      <c r="X226">
        <v>0</v>
      </c>
      <c r="Y226">
        <v>0</v>
      </c>
      <c r="Z226">
        <v>0</v>
      </c>
      <c r="AA226">
        <v>0</v>
      </c>
      <c r="AB226">
        <v>0</v>
      </c>
      <c r="AC226">
        <v>0</v>
      </c>
      <c r="AD226">
        <v>1</v>
      </c>
      <c r="AE226">
        <v>0</v>
      </c>
      <c r="AF226">
        <v>0</v>
      </c>
      <c r="AG226">
        <v>0</v>
      </c>
      <c r="AH226">
        <v>0</v>
      </c>
      <c r="AI226">
        <v>0</v>
      </c>
      <c r="AJ226">
        <v>0</v>
      </c>
      <c r="AK226">
        <v>0</v>
      </c>
      <c r="AL226">
        <v>0</v>
      </c>
      <c r="AM226">
        <v>0</v>
      </c>
      <c r="AN226">
        <v>0</v>
      </c>
      <c r="AO226">
        <v>0</v>
      </c>
      <c r="AP226">
        <v>0</v>
      </c>
    </row>
    <row r="227" spans="4:42" x14ac:dyDescent="0.45">
      <c r="D227">
        <v>2023</v>
      </c>
      <c r="E227">
        <v>1</v>
      </c>
      <c r="F227">
        <v>20353000</v>
      </c>
      <c r="G227">
        <v>1980300.76</v>
      </c>
      <c r="H227">
        <v>752767.95</v>
      </c>
      <c r="I227">
        <v>910229.36</v>
      </c>
      <c r="J227">
        <v>420917.34</v>
      </c>
      <c r="K227">
        <v>94</v>
      </c>
      <c r="L227">
        <v>7</v>
      </c>
      <c r="M227">
        <v>474</v>
      </c>
      <c r="N227">
        <v>10</v>
      </c>
      <c r="O227">
        <v>34</v>
      </c>
      <c r="P227">
        <v>433155.8</v>
      </c>
      <c r="Q227">
        <v>104.74</v>
      </c>
      <c r="R227">
        <v>106.61</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c r="AP227">
        <v>1</v>
      </c>
    </row>
    <row r="228" spans="4:42" x14ac:dyDescent="0.45">
      <c r="D228">
        <v>2023</v>
      </c>
      <c r="E228">
        <v>1</v>
      </c>
      <c r="F228">
        <v>3749000</v>
      </c>
      <c r="G228">
        <v>304392.81</v>
      </c>
      <c r="H228">
        <v>252422.29</v>
      </c>
      <c r="I228">
        <v>44418.41</v>
      </c>
      <c r="J228">
        <v>5573.89</v>
      </c>
      <c r="K228">
        <v>27</v>
      </c>
      <c r="L228">
        <v>2</v>
      </c>
      <c r="M228">
        <v>36</v>
      </c>
      <c r="N228">
        <v>0</v>
      </c>
      <c r="O228">
        <v>11</v>
      </c>
      <c r="P228">
        <v>7492.88</v>
      </c>
      <c r="Q228">
        <v>110.06</v>
      </c>
      <c r="R228">
        <v>106.2</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c r="AP228">
        <v>0</v>
      </c>
    </row>
    <row r="229" spans="4:42" x14ac:dyDescent="0.45">
      <c r="D229">
        <v>2023</v>
      </c>
      <c r="E229">
        <v>1</v>
      </c>
      <c r="F229">
        <v>23567000</v>
      </c>
      <c r="G229">
        <v>2106022.2400000002</v>
      </c>
      <c r="H229">
        <v>1589344.17</v>
      </c>
      <c r="I229">
        <v>440343.87</v>
      </c>
      <c r="J229">
        <v>23787.81</v>
      </c>
      <c r="K229">
        <v>175</v>
      </c>
      <c r="L229">
        <v>15</v>
      </c>
      <c r="M229">
        <v>810</v>
      </c>
      <c r="N229">
        <v>7</v>
      </c>
      <c r="O229">
        <v>36</v>
      </c>
      <c r="P229">
        <v>397294.59</v>
      </c>
      <c r="Q229">
        <v>111.81</v>
      </c>
      <c r="R229">
        <v>106.34</v>
      </c>
      <c r="S229">
        <v>0</v>
      </c>
      <c r="T229">
        <v>0</v>
      </c>
      <c r="U229">
        <v>0</v>
      </c>
      <c r="V229">
        <v>0</v>
      </c>
      <c r="W229">
        <v>0</v>
      </c>
      <c r="X229">
        <v>0</v>
      </c>
      <c r="Y229">
        <v>0</v>
      </c>
      <c r="Z229">
        <v>0</v>
      </c>
      <c r="AA229">
        <v>0</v>
      </c>
      <c r="AB229">
        <v>0</v>
      </c>
      <c r="AC229">
        <v>0</v>
      </c>
      <c r="AD229">
        <v>0</v>
      </c>
      <c r="AE229">
        <v>1</v>
      </c>
      <c r="AF229">
        <v>0</v>
      </c>
      <c r="AG229">
        <v>0</v>
      </c>
      <c r="AH229">
        <v>0</v>
      </c>
      <c r="AI229">
        <v>0</v>
      </c>
      <c r="AJ229">
        <v>0</v>
      </c>
      <c r="AK229">
        <v>0</v>
      </c>
      <c r="AL229">
        <v>0</v>
      </c>
      <c r="AM229">
        <v>0</v>
      </c>
      <c r="AN229">
        <v>0</v>
      </c>
      <c r="AO229">
        <v>0</v>
      </c>
      <c r="AP229">
        <v>0</v>
      </c>
    </row>
    <row r="230" spans="4:42" x14ac:dyDescent="0.45">
      <c r="D230">
        <v>2023</v>
      </c>
      <c r="E230">
        <v>1</v>
      </c>
      <c r="F230">
        <v>8570000</v>
      </c>
      <c r="G230">
        <v>741517.81</v>
      </c>
      <c r="H230">
        <v>458569.71</v>
      </c>
      <c r="I230">
        <v>297759.02</v>
      </c>
      <c r="J230">
        <v>35466.25</v>
      </c>
      <c r="K230">
        <v>64</v>
      </c>
      <c r="L230">
        <v>5</v>
      </c>
      <c r="M230">
        <v>66</v>
      </c>
      <c r="N230">
        <v>2</v>
      </c>
      <c r="O230">
        <v>19</v>
      </c>
      <c r="P230">
        <v>63401.4</v>
      </c>
      <c r="Q230">
        <v>105.4</v>
      </c>
      <c r="R230">
        <v>106.13</v>
      </c>
      <c r="S230">
        <v>0</v>
      </c>
      <c r="T230">
        <v>0</v>
      </c>
      <c r="U230">
        <v>0</v>
      </c>
      <c r="V230">
        <v>0</v>
      </c>
      <c r="W230">
        <v>0</v>
      </c>
      <c r="X230">
        <v>0</v>
      </c>
      <c r="Y230">
        <v>0</v>
      </c>
      <c r="Z230">
        <v>0</v>
      </c>
      <c r="AA230">
        <v>0</v>
      </c>
      <c r="AB230">
        <v>0</v>
      </c>
      <c r="AC230">
        <v>0</v>
      </c>
      <c r="AD230">
        <v>0</v>
      </c>
      <c r="AE230">
        <v>0</v>
      </c>
      <c r="AF230">
        <v>0</v>
      </c>
      <c r="AG230">
        <v>0</v>
      </c>
      <c r="AH230">
        <v>0</v>
      </c>
      <c r="AI230">
        <v>0</v>
      </c>
      <c r="AJ230">
        <v>1</v>
      </c>
      <c r="AK230">
        <v>0</v>
      </c>
      <c r="AL230">
        <v>0</v>
      </c>
      <c r="AM230">
        <v>0</v>
      </c>
      <c r="AN230">
        <v>0</v>
      </c>
      <c r="AO230">
        <v>0</v>
      </c>
      <c r="AP230">
        <v>0</v>
      </c>
    </row>
    <row r="231" spans="4:42" x14ac:dyDescent="0.45">
      <c r="D231">
        <v>2023</v>
      </c>
      <c r="E231">
        <v>2</v>
      </c>
      <c r="F231">
        <v>5142000</v>
      </c>
      <c r="G231">
        <v>420512.82</v>
      </c>
      <c r="H231">
        <v>356527.42</v>
      </c>
      <c r="I231">
        <v>70408.789999999994</v>
      </c>
      <c r="J231">
        <v>6281.82</v>
      </c>
      <c r="K231">
        <v>36</v>
      </c>
      <c r="L231">
        <v>4</v>
      </c>
      <c r="M231">
        <v>41</v>
      </c>
      <c r="N231">
        <v>0</v>
      </c>
      <c r="O231">
        <v>13</v>
      </c>
      <c r="P231">
        <v>12202.96</v>
      </c>
      <c r="Q231">
        <v>104.87</v>
      </c>
      <c r="R231">
        <v>107.42</v>
      </c>
      <c r="S231">
        <v>0</v>
      </c>
      <c r="T231">
        <v>0</v>
      </c>
      <c r="U231">
        <v>0</v>
      </c>
      <c r="V231">
        <v>0</v>
      </c>
      <c r="W231">
        <v>0</v>
      </c>
      <c r="X231">
        <v>0</v>
      </c>
      <c r="Y231">
        <v>0</v>
      </c>
      <c r="Z231">
        <v>0</v>
      </c>
      <c r="AA231">
        <v>0</v>
      </c>
      <c r="AB231">
        <v>1</v>
      </c>
      <c r="AC231">
        <v>0</v>
      </c>
      <c r="AD231">
        <v>1</v>
      </c>
      <c r="AE231">
        <v>0</v>
      </c>
      <c r="AF231">
        <v>0</v>
      </c>
      <c r="AG231">
        <v>0</v>
      </c>
      <c r="AH231">
        <v>0</v>
      </c>
      <c r="AI231">
        <v>0</v>
      </c>
      <c r="AJ231">
        <v>0</v>
      </c>
      <c r="AK231">
        <v>0</v>
      </c>
      <c r="AL231">
        <v>0</v>
      </c>
      <c r="AM231">
        <v>0</v>
      </c>
      <c r="AN231">
        <v>0</v>
      </c>
      <c r="AO231">
        <v>0</v>
      </c>
      <c r="AP231">
        <v>0</v>
      </c>
    </row>
    <row r="232" spans="4:42" x14ac:dyDescent="0.45">
      <c r="D232">
        <v>2023</v>
      </c>
      <c r="E232">
        <v>2</v>
      </c>
      <c r="F232">
        <v>3749000</v>
      </c>
      <c r="G232">
        <v>302308.76</v>
      </c>
      <c r="H232">
        <v>253605.61</v>
      </c>
      <c r="I232">
        <v>45835.79</v>
      </c>
      <c r="J232">
        <v>3432.6</v>
      </c>
      <c r="K232">
        <v>26</v>
      </c>
      <c r="L232">
        <v>1</v>
      </c>
      <c r="M232">
        <v>36</v>
      </c>
      <c r="N232">
        <v>0</v>
      </c>
      <c r="O232">
        <v>5</v>
      </c>
      <c r="P232">
        <v>2276.87</v>
      </c>
      <c r="Q232">
        <v>109.4</v>
      </c>
      <c r="R232">
        <v>105.54</v>
      </c>
      <c r="S232">
        <v>0</v>
      </c>
      <c r="T232">
        <v>0</v>
      </c>
      <c r="U232">
        <v>0</v>
      </c>
      <c r="V232">
        <v>0</v>
      </c>
      <c r="W232">
        <v>0</v>
      </c>
      <c r="X232">
        <v>0</v>
      </c>
      <c r="Y232">
        <v>0</v>
      </c>
      <c r="Z232">
        <v>0</v>
      </c>
      <c r="AA232">
        <v>0</v>
      </c>
      <c r="AB232">
        <v>1</v>
      </c>
      <c r="AC232">
        <v>0</v>
      </c>
      <c r="AD232">
        <v>0</v>
      </c>
      <c r="AE232">
        <v>0</v>
      </c>
      <c r="AF232">
        <v>0</v>
      </c>
      <c r="AG232">
        <v>0</v>
      </c>
      <c r="AH232">
        <v>0</v>
      </c>
      <c r="AI232">
        <v>0</v>
      </c>
      <c r="AJ232">
        <v>0</v>
      </c>
      <c r="AK232">
        <v>0</v>
      </c>
      <c r="AL232">
        <v>0</v>
      </c>
      <c r="AM232">
        <v>0</v>
      </c>
      <c r="AN232">
        <v>0</v>
      </c>
      <c r="AO232">
        <v>0</v>
      </c>
      <c r="AP232">
        <v>0</v>
      </c>
    </row>
    <row r="233" spans="4:42" x14ac:dyDescent="0.45">
      <c r="D233">
        <v>2023</v>
      </c>
      <c r="E233">
        <v>2</v>
      </c>
      <c r="F233">
        <v>4499000</v>
      </c>
      <c r="G233">
        <v>368990.69</v>
      </c>
      <c r="H233">
        <v>296884.74</v>
      </c>
      <c r="I233">
        <v>63505.49</v>
      </c>
      <c r="J233">
        <v>10971.99</v>
      </c>
      <c r="K233">
        <v>32</v>
      </c>
      <c r="L233">
        <v>4</v>
      </c>
      <c r="M233">
        <v>50</v>
      </c>
      <c r="N233">
        <v>1</v>
      </c>
      <c r="O233">
        <v>8</v>
      </c>
      <c r="P233">
        <v>14506.6</v>
      </c>
      <c r="Q233">
        <v>107.63</v>
      </c>
      <c r="R233">
        <v>107.07</v>
      </c>
      <c r="S233">
        <v>0</v>
      </c>
      <c r="T233">
        <v>0</v>
      </c>
      <c r="U233">
        <v>0</v>
      </c>
      <c r="V233">
        <v>0</v>
      </c>
      <c r="W233">
        <v>0</v>
      </c>
      <c r="X233">
        <v>0</v>
      </c>
      <c r="Y233">
        <v>0</v>
      </c>
      <c r="Z233">
        <v>0</v>
      </c>
      <c r="AA233">
        <v>0</v>
      </c>
      <c r="AB233">
        <v>1</v>
      </c>
      <c r="AC233">
        <v>0</v>
      </c>
      <c r="AD233">
        <v>0</v>
      </c>
      <c r="AE233">
        <v>0</v>
      </c>
      <c r="AF233">
        <v>0</v>
      </c>
      <c r="AG233">
        <v>0</v>
      </c>
      <c r="AH233">
        <v>0</v>
      </c>
      <c r="AI233">
        <v>0</v>
      </c>
      <c r="AJ233">
        <v>0</v>
      </c>
      <c r="AK233">
        <v>0</v>
      </c>
      <c r="AL233">
        <v>1</v>
      </c>
      <c r="AM233">
        <v>0</v>
      </c>
      <c r="AN233">
        <v>0</v>
      </c>
      <c r="AO233">
        <v>0</v>
      </c>
      <c r="AP233">
        <v>0</v>
      </c>
    </row>
    <row r="234" spans="4:42" x14ac:dyDescent="0.45">
      <c r="D234">
        <v>2023</v>
      </c>
      <c r="E234">
        <v>2</v>
      </c>
      <c r="F234">
        <v>7820000</v>
      </c>
      <c r="G234">
        <v>649448.36</v>
      </c>
      <c r="H234">
        <v>353169.24</v>
      </c>
      <c r="I234">
        <v>287313.3</v>
      </c>
      <c r="J234">
        <v>20550.72</v>
      </c>
      <c r="K234">
        <v>45</v>
      </c>
      <c r="L234">
        <v>5</v>
      </c>
      <c r="M234">
        <v>87</v>
      </c>
      <c r="N234">
        <v>1</v>
      </c>
      <c r="O234">
        <v>12</v>
      </c>
      <c r="P234">
        <v>21378.76</v>
      </c>
      <c r="Q234">
        <v>109.47</v>
      </c>
      <c r="R234">
        <v>107.94</v>
      </c>
      <c r="S234">
        <v>0</v>
      </c>
      <c r="T234">
        <v>0</v>
      </c>
      <c r="U234">
        <v>0</v>
      </c>
      <c r="V234">
        <v>0</v>
      </c>
      <c r="W234">
        <v>0</v>
      </c>
      <c r="X234">
        <v>0</v>
      </c>
      <c r="Y234">
        <v>0</v>
      </c>
      <c r="Z234">
        <v>0</v>
      </c>
      <c r="AA234">
        <v>0</v>
      </c>
      <c r="AB234">
        <v>1</v>
      </c>
      <c r="AC234">
        <v>0</v>
      </c>
      <c r="AD234">
        <v>0</v>
      </c>
      <c r="AE234">
        <v>0</v>
      </c>
      <c r="AF234">
        <v>0</v>
      </c>
      <c r="AG234">
        <v>1</v>
      </c>
      <c r="AH234">
        <v>0</v>
      </c>
      <c r="AI234">
        <v>0</v>
      </c>
      <c r="AJ234">
        <v>0</v>
      </c>
      <c r="AK234">
        <v>0</v>
      </c>
      <c r="AL234">
        <v>0</v>
      </c>
      <c r="AM234">
        <v>0</v>
      </c>
      <c r="AN234">
        <v>0</v>
      </c>
      <c r="AO234">
        <v>0</v>
      </c>
      <c r="AP234">
        <v>0</v>
      </c>
    </row>
    <row r="235" spans="4:42" x14ac:dyDescent="0.45">
      <c r="D235">
        <v>2023</v>
      </c>
      <c r="E235">
        <v>2</v>
      </c>
      <c r="F235">
        <v>14462000</v>
      </c>
      <c r="G235">
        <v>1588520.7</v>
      </c>
      <c r="H235">
        <v>597215.81999999995</v>
      </c>
      <c r="I235">
        <v>593487.12</v>
      </c>
      <c r="J235">
        <v>416981.1</v>
      </c>
      <c r="K235">
        <v>80</v>
      </c>
      <c r="L235">
        <v>5</v>
      </c>
      <c r="M235">
        <v>172</v>
      </c>
      <c r="N235">
        <v>5</v>
      </c>
      <c r="O235">
        <v>21</v>
      </c>
      <c r="P235">
        <v>144272.44</v>
      </c>
      <c r="Q235">
        <v>107.44</v>
      </c>
      <c r="R235">
        <v>106.84</v>
      </c>
      <c r="S235">
        <v>0</v>
      </c>
      <c r="T235">
        <v>0</v>
      </c>
      <c r="U235">
        <v>0</v>
      </c>
      <c r="V235">
        <v>0</v>
      </c>
      <c r="W235">
        <v>0</v>
      </c>
      <c r="X235">
        <v>0</v>
      </c>
      <c r="Y235">
        <v>0</v>
      </c>
      <c r="Z235">
        <v>0</v>
      </c>
      <c r="AA235">
        <v>0</v>
      </c>
      <c r="AB235">
        <v>1</v>
      </c>
      <c r="AC235">
        <v>0</v>
      </c>
      <c r="AD235">
        <v>0</v>
      </c>
      <c r="AE235">
        <v>0</v>
      </c>
      <c r="AF235">
        <v>0</v>
      </c>
      <c r="AG235">
        <v>0</v>
      </c>
      <c r="AH235">
        <v>0</v>
      </c>
      <c r="AI235">
        <v>0</v>
      </c>
      <c r="AJ235">
        <v>0</v>
      </c>
      <c r="AK235">
        <v>0</v>
      </c>
      <c r="AL235">
        <v>0</v>
      </c>
      <c r="AM235">
        <v>0</v>
      </c>
      <c r="AN235">
        <v>1</v>
      </c>
      <c r="AO235">
        <v>0</v>
      </c>
      <c r="AP235">
        <v>0</v>
      </c>
    </row>
    <row r="236" spans="4:42" x14ac:dyDescent="0.45">
      <c r="D236">
        <v>2023</v>
      </c>
      <c r="E236">
        <v>2</v>
      </c>
      <c r="F236">
        <v>6642000</v>
      </c>
      <c r="G236">
        <v>709167.84</v>
      </c>
      <c r="H236">
        <v>276035.15000000002</v>
      </c>
      <c r="I236">
        <v>254077.67</v>
      </c>
      <c r="J236">
        <v>170246.28</v>
      </c>
      <c r="K236">
        <v>31</v>
      </c>
      <c r="L236">
        <v>1</v>
      </c>
      <c r="M236">
        <v>32</v>
      </c>
      <c r="N236">
        <v>3</v>
      </c>
      <c r="O236">
        <v>17</v>
      </c>
      <c r="P236">
        <v>50434.2</v>
      </c>
      <c r="Q236">
        <v>109.72</v>
      </c>
      <c r="R236">
        <v>107.45</v>
      </c>
      <c r="S236">
        <v>0</v>
      </c>
      <c r="T236">
        <v>0</v>
      </c>
      <c r="U236">
        <v>0</v>
      </c>
      <c r="V236">
        <v>0</v>
      </c>
      <c r="W236">
        <v>0</v>
      </c>
      <c r="X236">
        <v>0</v>
      </c>
      <c r="Y236">
        <v>0</v>
      </c>
      <c r="Z236">
        <v>0</v>
      </c>
      <c r="AA236">
        <v>0</v>
      </c>
      <c r="AB236">
        <v>1</v>
      </c>
      <c r="AC236">
        <v>0</v>
      </c>
      <c r="AD236">
        <v>0</v>
      </c>
      <c r="AE236">
        <v>0</v>
      </c>
      <c r="AF236">
        <v>0</v>
      </c>
      <c r="AG236">
        <v>0</v>
      </c>
      <c r="AH236">
        <v>1</v>
      </c>
      <c r="AI236">
        <v>0</v>
      </c>
      <c r="AJ236">
        <v>0</v>
      </c>
      <c r="AK236">
        <v>0</v>
      </c>
      <c r="AL236">
        <v>0</v>
      </c>
      <c r="AM236">
        <v>0</v>
      </c>
      <c r="AN236">
        <v>0</v>
      </c>
      <c r="AO236">
        <v>0</v>
      </c>
      <c r="AP236">
        <v>0</v>
      </c>
    </row>
    <row r="237" spans="4:42" x14ac:dyDescent="0.45">
      <c r="D237">
        <v>2023</v>
      </c>
      <c r="E237">
        <v>2</v>
      </c>
      <c r="F237">
        <v>26781000</v>
      </c>
      <c r="G237">
        <v>2340611.9700000002</v>
      </c>
      <c r="H237">
        <v>1663540.84</v>
      </c>
      <c r="I237">
        <v>604283.17000000004</v>
      </c>
      <c r="J237">
        <v>87062.63</v>
      </c>
      <c r="K237">
        <v>207</v>
      </c>
      <c r="L237">
        <v>16</v>
      </c>
      <c r="M237">
        <v>740</v>
      </c>
      <c r="N237">
        <v>8</v>
      </c>
      <c r="O237">
        <v>33</v>
      </c>
      <c r="P237">
        <v>559269.04</v>
      </c>
      <c r="Q237">
        <v>106.92</v>
      </c>
      <c r="R237">
        <v>106.76</v>
      </c>
      <c r="S237">
        <v>0</v>
      </c>
      <c r="T237">
        <v>0</v>
      </c>
      <c r="U237">
        <v>0</v>
      </c>
      <c r="V237">
        <v>0</v>
      </c>
      <c r="W237">
        <v>0</v>
      </c>
      <c r="X237">
        <v>0</v>
      </c>
      <c r="Y237">
        <v>0</v>
      </c>
      <c r="Z237">
        <v>0</v>
      </c>
      <c r="AA237">
        <v>0</v>
      </c>
      <c r="AB237">
        <v>1</v>
      </c>
      <c r="AC237">
        <v>0</v>
      </c>
      <c r="AD237">
        <v>0</v>
      </c>
      <c r="AE237">
        <v>0</v>
      </c>
      <c r="AF237">
        <v>0</v>
      </c>
      <c r="AG237">
        <v>0</v>
      </c>
      <c r="AH237">
        <v>0</v>
      </c>
      <c r="AI237">
        <v>0</v>
      </c>
      <c r="AJ237">
        <v>0</v>
      </c>
      <c r="AK237">
        <v>0</v>
      </c>
      <c r="AL237">
        <v>0</v>
      </c>
      <c r="AM237">
        <v>1</v>
      </c>
      <c r="AN237">
        <v>0</v>
      </c>
      <c r="AO237">
        <v>0</v>
      </c>
      <c r="AP237">
        <v>0</v>
      </c>
    </row>
    <row r="238" spans="4:42" x14ac:dyDescent="0.45">
      <c r="D238">
        <v>2023</v>
      </c>
      <c r="E238">
        <v>2</v>
      </c>
      <c r="F238">
        <v>23567000</v>
      </c>
      <c r="G238">
        <v>2166156.2000000002</v>
      </c>
      <c r="H238">
        <v>1633240.1</v>
      </c>
      <c r="I238">
        <v>509797.49</v>
      </c>
      <c r="J238">
        <v>164957.29</v>
      </c>
      <c r="K238">
        <v>182</v>
      </c>
      <c r="L238">
        <v>14</v>
      </c>
      <c r="M238">
        <v>875</v>
      </c>
      <c r="N238">
        <v>5</v>
      </c>
      <c r="O238">
        <v>29</v>
      </c>
      <c r="P238">
        <v>231051.59</v>
      </c>
      <c r="Q238">
        <v>108.68</v>
      </c>
      <c r="R238">
        <v>106.6</v>
      </c>
      <c r="S238">
        <v>0</v>
      </c>
      <c r="T238">
        <v>0</v>
      </c>
      <c r="U238">
        <v>0</v>
      </c>
      <c r="V238">
        <v>0</v>
      </c>
      <c r="W238">
        <v>0</v>
      </c>
      <c r="X238">
        <v>0</v>
      </c>
      <c r="Y238">
        <v>0</v>
      </c>
      <c r="Z238">
        <v>0</v>
      </c>
      <c r="AA238">
        <v>0</v>
      </c>
      <c r="AB238">
        <v>1</v>
      </c>
      <c r="AC238">
        <v>0</v>
      </c>
      <c r="AD238">
        <v>0</v>
      </c>
      <c r="AE238">
        <v>0</v>
      </c>
      <c r="AF238">
        <v>1</v>
      </c>
      <c r="AG238">
        <v>0</v>
      </c>
      <c r="AH238">
        <v>0</v>
      </c>
      <c r="AI238">
        <v>0</v>
      </c>
      <c r="AJ238">
        <v>0</v>
      </c>
      <c r="AK238">
        <v>0</v>
      </c>
      <c r="AL238">
        <v>0</v>
      </c>
      <c r="AM238">
        <v>0</v>
      </c>
      <c r="AN238">
        <v>0</v>
      </c>
      <c r="AO238">
        <v>0</v>
      </c>
      <c r="AP238">
        <v>0</v>
      </c>
    </row>
    <row r="239" spans="4:42" x14ac:dyDescent="0.45">
      <c r="D239">
        <v>2023</v>
      </c>
      <c r="E239">
        <v>2</v>
      </c>
      <c r="F239">
        <v>8570000</v>
      </c>
      <c r="G239">
        <v>710985.3</v>
      </c>
      <c r="H239">
        <v>480352.42</v>
      </c>
      <c r="I239">
        <v>198327.34</v>
      </c>
      <c r="J239">
        <v>33558.019999999997</v>
      </c>
      <c r="K239">
        <v>67</v>
      </c>
      <c r="L239">
        <v>4</v>
      </c>
      <c r="M239">
        <v>42</v>
      </c>
      <c r="N239">
        <v>2</v>
      </c>
      <c r="O239">
        <v>13</v>
      </c>
      <c r="P239">
        <v>39284.5</v>
      </c>
      <c r="Q239">
        <v>110.2</v>
      </c>
      <c r="R239">
        <v>106.92</v>
      </c>
      <c r="S239">
        <v>0</v>
      </c>
      <c r="T239">
        <v>0</v>
      </c>
      <c r="U239">
        <v>0</v>
      </c>
      <c r="V239">
        <v>0</v>
      </c>
      <c r="W239">
        <v>0</v>
      </c>
      <c r="X239">
        <v>0</v>
      </c>
      <c r="Y239">
        <v>0</v>
      </c>
      <c r="Z239">
        <v>0</v>
      </c>
      <c r="AA239">
        <v>0</v>
      </c>
      <c r="AB239">
        <v>1</v>
      </c>
      <c r="AC239">
        <v>0</v>
      </c>
      <c r="AD239">
        <v>0</v>
      </c>
      <c r="AE239">
        <v>0</v>
      </c>
      <c r="AF239">
        <v>0</v>
      </c>
      <c r="AG239">
        <v>0</v>
      </c>
      <c r="AH239">
        <v>0</v>
      </c>
      <c r="AI239">
        <v>0</v>
      </c>
      <c r="AJ239">
        <v>1</v>
      </c>
      <c r="AK239">
        <v>0</v>
      </c>
      <c r="AL239">
        <v>0</v>
      </c>
      <c r="AM239">
        <v>0</v>
      </c>
      <c r="AN239">
        <v>0</v>
      </c>
      <c r="AO239">
        <v>0</v>
      </c>
      <c r="AP239">
        <v>0</v>
      </c>
    </row>
    <row r="240" spans="4:42" x14ac:dyDescent="0.45">
      <c r="D240">
        <v>2023</v>
      </c>
      <c r="E240">
        <v>2</v>
      </c>
      <c r="F240">
        <v>20353000</v>
      </c>
      <c r="G240">
        <v>1743932.19</v>
      </c>
      <c r="H240">
        <v>787502.02</v>
      </c>
      <c r="I240">
        <v>860396.53</v>
      </c>
      <c r="J240">
        <v>106439.13</v>
      </c>
      <c r="K240">
        <v>95</v>
      </c>
      <c r="L240">
        <v>12</v>
      </c>
      <c r="M240">
        <v>494</v>
      </c>
      <c r="N240">
        <v>6</v>
      </c>
      <c r="O240">
        <v>22</v>
      </c>
      <c r="P240">
        <v>313521.57</v>
      </c>
      <c r="Q240">
        <v>107.79</v>
      </c>
      <c r="R240">
        <v>106.67</v>
      </c>
      <c r="S240">
        <v>0</v>
      </c>
      <c r="T240">
        <v>0</v>
      </c>
      <c r="U240">
        <v>0</v>
      </c>
      <c r="V240">
        <v>0</v>
      </c>
      <c r="W240">
        <v>0</v>
      </c>
      <c r="X240">
        <v>0</v>
      </c>
      <c r="Y240">
        <v>0</v>
      </c>
      <c r="Z240">
        <v>0</v>
      </c>
      <c r="AA240">
        <v>0</v>
      </c>
      <c r="AB240">
        <v>1</v>
      </c>
      <c r="AC240">
        <v>0</v>
      </c>
      <c r="AD240">
        <v>0</v>
      </c>
      <c r="AE240">
        <v>0</v>
      </c>
      <c r="AF240">
        <v>0</v>
      </c>
      <c r="AG240">
        <v>0</v>
      </c>
      <c r="AH240">
        <v>0</v>
      </c>
      <c r="AI240">
        <v>0</v>
      </c>
      <c r="AJ240">
        <v>0</v>
      </c>
      <c r="AK240">
        <v>0</v>
      </c>
      <c r="AL240">
        <v>0</v>
      </c>
      <c r="AM240">
        <v>0</v>
      </c>
      <c r="AN240">
        <v>0</v>
      </c>
      <c r="AO240">
        <v>0</v>
      </c>
      <c r="AP240">
        <v>1</v>
      </c>
    </row>
    <row r="241" spans="4:42" x14ac:dyDescent="0.45">
      <c r="D241">
        <v>2023</v>
      </c>
      <c r="E241">
        <v>3</v>
      </c>
      <c r="F241">
        <v>20353000</v>
      </c>
      <c r="G241">
        <v>2192756.67</v>
      </c>
      <c r="H241">
        <v>778230.06</v>
      </c>
      <c r="I241">
        <v>1190954.3899999999</v>
      </c>
      <c r="J241">
        <v>104840.5</v>
      </c>
      <c r="K241">
        <v>94</v>
      </c>
      <c r="L241">
        <v>4</v>
      </c>
      <c r="M241">
        <v>462</v>
      </c>
      <c r="N241">
        <v>9</v>
      </c>
      <c r="O241">
        <v>29</v>
      </c>
      <c r="P241">
        <v>459146.64</v>
      </c>
      <c r="Q241">
        <v>108.38</v>
      </c>
      <c r="R241">
        <v>107.01</v>
      </c>
      <c r="S241">
        <v>0</v>
      </c>
      <c r="T241">
        <v>0</v>
      </c>
      <c r="U241">
        <v>1</v>
      </c>
      <c r="V241">
        <v>0</v>
      </c>
      <c r="W241">
        <v>0</v>
      </c>
      <c r="X241">
        <v>0</v>
      </c>
      <c r="Y241">
        <v>0</v>
      </c>
      <c r="Z241">
        <v>0</v>
      </c>
      <c r="AA241">
        <v>0</v>
      </c>
      <c r="AB241">
        <v>0</v>
      </c>
      <c r="AC241">
        <v>0</v>
      </c>
      <c r="AD241">
        <v>0</v>
      </c>
      <c r="AE241">
        <v>0</v>
      </c>
      <c r="AF241">
        <v>0</v>
      </c>
      <c r="AG241">
        <v>0</v>
      </c>
      <c r="AH241">
        <v>0</v>
      </c>
      <c r="AI241">
        <v>0</v>
      </c>
      <c r="AJ241">
        <v>0</v>
      </c>
      <c r="AK241">
        <v>0</v>
      </c>
      <c r="AL241">
        <v>0</v>
      </c>
      <c r="AM241">
        <v>0</v>
      </c>
      <c r="AN241">
        <v>0</v>
      </c>
      <c r="AO241">
        <v>0</v>
      </c>
      <c r="AP241">
        <v>1</v>
      </c>
    </row>
    <row r="242" spans="4:42" x14ac:dyDescent="0.45">
      <c r="D242">
        <v>2023</v>
      </c>
      <c r="E242">
        <v>3</v>
      </c>
      <c r="F242">
        <v>8570000</v>
      </c>
      <c r="G242">
        <v>719164.03</v>
      </c>
      <c r="H242">
        <v>451044.67</v>
      </c>
      <c r="I242">
        <v>266490.83</v>
      </c>
      <c r="J242">
        <v>19891.47</v>
      </c>
      <c r="K242">
        <v>65</v>
      </c>
      <c r="L242">
        <v>8</v>
      </c>
      <c r="M242">
        <v>86</v>
      </c>
      <c r="N242">
        <v>1</v>
      </c>
      <c r="O242">
        <v>13</v>
      </c>
      <c r="P242">
        <v>35050.75</v>
      </c>
      <c r="Q242">
        <v>105.2</v>
      </c>
      <c r="R242">
        <v>107.3</v>
      </c>
      <c r="S242">
        <v>0</v>
      </c>
      <c r="T242">
        <v>0</v>
      </c>
      <c r="U242">
        <v>1</v>
      </c>
      <c r="V242">
        <v>0</v>
      </c>
      <c r="W242">
        <v>0</v>
      </c>
      <c r="X242">
        <v>0</v>
      </c>
      <c r="Y242">
        <v>0</v>
      </c>
      <c r="Z242">
        <v>0</v>
      </c>
      <c r="AA242">
        <v>0</v>
      </c>
      <c r="AB242">
        <v>0</v>
      </c>
      <c r="AC242">
        <v>0</v>
      </c>
      <c r="AD242">
        <v>0</v>
      </c>
      <c r="AE242">
        <v>0</v>
      </c>
      <c r="AF242">
        <v>0</v>
      </c>
      <c r="AG242">
        <v>0</v>
      </c>
      <c r="AH242">
        <v>0</v>
      </c>
      <c r="AI242">
        <v>0</v>
      </c>
      <c r="AJ242">
        <v>1</v>
      </c>
      <c r="AK242">
        <v>0</v>
      </c>
      <c r="AL242">
        <v>0</v>
      </c>
      <c r="AM242">
        <v>0</v>
      </c>
      <c r="AN242">
        <v>0</v>
      </c>
      <c r="AO242">
        <v>0</v>
      </c>
      <c r="AP242">
        <v>0</v>
      </c>
    </row>
    <row r="243" spans="4:42" x14ac:dyDescent="0.45">
      <c r="D243">
        <v>2023</v>
      </c>
      <c r="E243">
        <v>3</v>
      </c>
      <c r="F243">
        <v>4499000</v>
      </c>
      <c r="G243">
        <v>391352.89</v>
      </c>
      <c r="H243">
        <v>297306.46999999997</v>
      </c>
      <c r="I243">
        <v>82196.91</v>
      </c>
      <c r="J243">
        <v>7391.51</v>
      </c>
      <c r="K243">
        <v>31</v>
      </c>
      <c r="L243">
        <v>3</v>
      </c>
      <c r="M243">
        <v>33</v>
      </c>
      <c r="N243">
        <v>1</v>
      </c>
      <c r="O243">
        <v>11</v>
      </c>
      <c r="P243">
        <v>19994.79</v>
      </c>
      <c r="Q243">
        <v>107.13</v>
      </c>
      <c r="R243">
        <v>107.54</v>
      </c>
      <c r="S243">
        <v>0</v>
      </c>
      <c r="T243">
        <v>0</v>
      </c>
      <c r="U243">
        <v>1</v>
      </c>
      <c r="V243">
        <v>0</v>
      </c>
      <c r="W243">
        <v>0</v>
      </c>
      <c r="X243">
        <v>0</v>
      </c>
      <c r="Y243">
        <v>0</v>
      </c>
      <c r="Z243">
        <v>0</v>
      </c>
      <c r="AA243">
        <v>0</v>
      </c>
      <c r="AB243">
        <v>0</v>
      </c>
      <c r="AC243">
        <v>0</v>
      </c>
      <c r="AD243">
        <v>0</v>
      </c>
      <c r="AE243">
        <v>0</v>
      </c>
      <c r="AF243">
        <v>0</v>
      </c>
      <c r="AG243">
        <v>0</v>
      </c>
      <c r="AH243">
        <v>0</v>
      </c>
      <c r="AI243">
        <v>0</v>
      </c>
      <c r="AJ243">
        <v>0</v>
      </c>
      <c r="AK243">
        <v>0</v>
      </c>
      <c r="AL243">
        <v>1</v>
      </c>
      <c r="AM243">
        <v>0</v>
      </c>
      <c r="AN243">
        <v>0</v>
      </c>
      <c r="AO243">
        <v>0</v>
      </c>
      <c r="AP243">
        <v>0</v>
      </c>
    </row>
    <row r="244" spans="4:42" x14ac:dyDescent="0.45">
      <c r="D244">
        <v>2023</v>
      </c>
      <c r="E244">
        <v>3</v>
      </c>
      <c r="F244">
        <v>6642000</v>
      </c>
      <c r="G244">
        <v>632970.69999999995</v>
      </c>
      <c r="H244">
        <v>286428.53000000003</v>
      </c>
      <c r="I244">
        <v>308650.56</v>
      </c>
      <c r="J244">
        <v>23155.85</v>
      </c>
      <c r="K244">
        <v>31</v>
      </c>
      <c r="L244">
        <v>2</v>
      </c>
      <c r="M244">
        <v>72</v>
      </c>
      <c r="N244">
        <v>4</v>
      </c>
      <c r="O244">
        <v>18</v>
      </c>
      <c r="P244">
        <v>63997.89</v>
      </c>
      <c r="Q244">
        <v>107.81</v>
      </c>
      <c r="R244">
        <v>106.46</v>
      </c>
      <c r="S244">
        <v>0</v>
      </c>
      <c r="T244">
        <v>0</v>
      </c>
      <c r="U244">
        <v>1</v>
      </c>
      <c r="V244">
        <v>0</v>
      </c>
      <c r="W244">
        <v>0</v>
      </c>
      <c r="X244">
        <v>0</v>
      </c>
      <c r="Y244">
        <v>0</v>
      </c>
      <c r="Z244">
        <v>0</v>
      </c>
      <c r="AA244">
        <v>0</v>
      </c>
      <c r="AB244">
        <v>0</v>
      </c>
      <c r="AC244">
        <v>0</v>
      </c>
      <c r="AD244">
        <v>0</v>
      </c>
      <c r="AE244">
        <v>0</v>
      </c>
      <c r="AF244">
        <v>0</v>
      </c>
      <c r="AG244">
        <v>0</v>
      </c>
      <c r="AH244">
        <v>1</v>
      </c>
      <c r="AI244">
        <v>0</v>
      </c>
      <c r="AJ244">
        <v>0</v>
      </c>
      <c r="AK244">
        <v>0</v>
      </c>
      <c r="AL244">
        <v>0</v>
      </c>
      <c r="AM244">
        <v>0</v>
      </c>
      <c r="AN244">
        <v>0</v>
      </c>
      <c r="AO244">
        <v>0</v>
      </c>
      <c r="AP244">
        <v>0</v>
      </c>
    </row>
    <row r="245" spans="4:42" x14ac:dyDescent="0.45">
      <c r="D245">
        <v>2023</v>
      </c>
      <c r="E245">
        <v>3</v>
      </c>
      <c r="F245">
        <v>5142000</v>
      </c>
      <c r="G245">
        <v>457176.6</v>
      </c>
      <c r="H245">
        <v>370167.94</v>
      </c>
      <c r="I245">
        <v>78803.570000000007</v>
      </c>
      <c r="J245">
        <v>10785.85</v>
      </c>
      <c r="K245">
        <v>37</v>
      </c>
      <c r="L245">
        <v>3</v>
      </c>
      <c r="M245">
        <v>62</v>
      </c>
      <c r="N245">
        <v>1</v>
      </c>
      <c r="O245">
        <v>9</v>
      </c>
      <c r="P245">
        <v>20401</v>
      </c>
      <c r="Q245">
        <v>109.08</v>
      </c>
      <c r="R245">
        <v>107.81</v>
      </c>
      <c r="S245">
        <v>0</v>
      </c>
      <c r="T245">
        <v>0</v>
      </c>
      <c r="U245">
        <v>1</v>
      </c>
      <c r="V245">
        <v>0</v>
      </c>
      <c r="W245">
        <v>0</v>
      </c>
      <c r="X245">
        <v>0</v>
      </c>
      <c r="Y245">
        <v>0</v>
      </c>
      <c r="Z245">
        <v>0</v>
      </c>
      <c r="AA245">
        <v>0</v>
      </c>
      <c r="AB245">
        <v>0</v>
      </c>
      <c r="AC245">
        <v>0</v>
      </c>
      <c r="AD245">
        <v>1</v>
      </c>
      <c r="AE245">
        <v>0</v>
      </c>
      <c r="AF245">
        <v>0</v>
      </c>
      <c r="AG245">
        <v>0</v>
      </c>
      <c r="AH245">
        <v>0</v>
      </c>
      <c r="AI245">
        <v>0</v>
      </c>
      <c r="AJ245">
        <v>0</v>
      </c>
      <c r="AK245">
        <v>0</v>
      </c>
      <c r="AL245">
        <v>0</v>
      </c>
      <c r="AM245">
        <v>0</v>
      </c>
      <c r="AN245">
        <v>0</v>
      </c>
      <c r="AO245">
        <v>0</v>
      </c>
      <c r="AP245">
        <v>0</v>
      </c>
    </row>
    <row r="246" spans="4:42" x14ac:dyDescent="0.45">
      <c r="D246">
        <v>2023</v>
      </c>
      <c r="E246">
        <v>3</v>
      </c>
      <c r="F246">
        <v>26781000</v>
      </c>
      <c r="G246">
        <v>2387164.6</v>
      </c>
      <c r="H246">
        <v>1810122.07</v>
      </c>
      <c r="I246">
        <v>589207.55000000005</v>
      </c>
      <c r="J246">
        <v>69494.149999999994</v>
      </c>
      <c r="K246">
        <v>211</v>
      </c>
      <c r="L246">
        <v>18</v>
      </c>
      <c r="M246">
        <v>1236</v>
      </c>
      <c r="N246">
        <v>12</v>
      </c>
      <c r="O246">
        <v>38</v>
      </c>
      <c r="P246">
        <v>767532.14</v>
      </c>
      <c r="Q246">
        <v>105.8</v>
      </c>
      <c r="R246">
        <v>106.18</v>
      </c>
      <c r="S246">
        <v>0</v>
      </c>
      <c r="T246">
        <v>0</v>
      </c>
      <c r="U246">
        <v>1</v>
      </c>
      <c r="V246">
        <v>0</v>
      </c>
      <c r="W246">
        <v>0</v>
      </c>
      <c r="X246">
        <v>0</v>
      </c>
      <c r="Y246">
        <v>0</v>
      </c>
      <c r="Z246">
        <v>0</v>
      </c>
      <c r="AA246">
        <v>0</v>
      </c>
      <c r="AB246">
        <v>0</v>
      </c>
      <c r="AC246">
        <v>0</v>
      </c>
      <c r="AD246">
        <v>0</v>
      </c>
      <c r="AE246">
        <v>0</v>
      </c>
      <c r="AF246">
        <v>0</v>
      </c>
      <c r="AG246">
        <v>0</v>
      </c>
      <c r="AH246">
        <v>0</v>
      </c>
      <c r="AI246">
        <v>0</v>
      </c>
      <c r="AJ246">
        <v>0</v>
      </c>
      <c r="AK246">
        <v>0</v>
      </c>
      <c r="AL246">
        <v>0</v>
      </c>
      <c r="AM246">
        <v>1</v>
      </c>
      <c r="AN246">
        <v>0</v>
      </c>
      <c r="AO246">
        <v>0</v>
      </c>
      <c r="AP246">
        <v>0</v>
      </c>
    </row>
    <row r="247" spans="4:42" x14ac:dyDescent="0.45">
      <c r="D247">
        <v>2023</v>
      </c>
      <c r="E247">
        <v>3</v>
      </c>
      <c r="F247">
        <v>3749000</v>
      </c>
      <c r="G247">
        <v>322006.39</v>
      </c>
      <c r="H247">
        <v>266575.84999999998</v>
      </c>
      <c r="I247">
        <v>49912.35</v>
      </c>
      <c r="J247">
        <v>1792.96</v>
      </c>
      <c r="K247">
        <v>27</v>
      </c>
      <c r="L247">
        <v>2</v>
      </c>
      <c r="M247">
        <v>26</v>
      </c>
      <c r="N247">
        <v>0</v>
      </c>
      <c r="O247">
        <v>11</v>
      </c>
      <c r="P247">
        <v>5826.93</v>
      </c>
      <c r="Q247">
        <v>106.07</v>
      </c>
      <c r="R247">
        <v>106.83</v>
      </c>
      <c r="S247">
        <v>0</v>
      </c>
      <c r="T247">
        <v>0</v>
      </c>
      <c r="U247">
        <v>1</v>
      </c>
      <c r="V247">
        <v>0</v>
      </c>
      <c r="W247">
        <v>0</v>
      </c>
      <c r="X247">
        <v>0</v>
      </c>
      <c r="Y247">
        <v>0</v>
      </c>
      <c r="Z247">
        <v>0</v>
      </c>
      <c r="AA247">
        <v>0</v>
      </c>
      <c r="AB247">
        <v>0</v>
      </c>
      <c r="AC247">
        <v>0</v>
      </c>
      <c r="AD247">
        <v>0</v>
      </c>
      <c r="AE247">
        <v>0</v>
      </c>
      <c r="AF247">
        <v>0</v>
      </c>
      <c r="AG247">
        <v>0</v>
      </c>
      <c r="AH247">
        <v>0</v>
      </c>
      <c r="AI247">
        <v>0</v>
      </c>
      <c r="AJ247">
        <v>0</v>
      </c>
      <c r="AK247">
        <v>0</v>
      </c>
      <c r="AL247">
        <v>0</v>
      </c>
      <c r="AM247">
        <v>0</v>
      </c>
      <c r="AN247">
        <v>0</v>
      </c>
      <c r="AO247">
        <v>0</v>
      </c>
      <c r="AP247">
        <v>0</v>
      </c>
    </row>
    <row r="248" spans="4:42" x14ac:dyDescent="0.45">
      <c r="D248">
        <v>2023</v>
      </c>
      <c r="E248">
        <v>3</v>
      </c>
      <c r="F248">
        <v>14462000</v>
      </c>
      <c r="G248">
        <v>1235846.01</v>
      </c>
      <c r="H248">
        <v>574109.06000000006</v>
      </c>
      <c r="I248">
        <v>649552.78</v>
      </c>
      <c r="J248">
        <v>43306.59</v>
      </c>
      <c r="K248">
        <v>77</v>
      </c>
      <c r="L248">
        <v>5</v>
      </c>
      <c r="M248">
        <v>84</v>
      </c>
      <c r="N248">
        <v>6</v>
      </c>
      <c r="O248">
        <v>25</v>
      </c>
      <c r="P248">
        <v>156047.76</v>
      </c>
      <c r="Q248">
        <v>105.41</v>
      </c>
      <c r="R248">
        <v>106.99</v>
      </c>
      <c r="S248">
        <v>0</v>
      </c>
      <c r="T248">
        <v>0</v>
      </c>
      <c r="U248">
        <v>1</v>
      </c>
      <c r="V248">
        <v>0</v>
      </c>
      <c r="W248">
        <v>0</v>
      </c>
      <c r="X248">
        <v>0</v>
      </c>
      <c r="Y248">
        <v>0</v>
      </c>
      <c r="Z248">
        <v>0</v>
      </c>
      <c r="AA248">
        <v>0</v>
      </c>
      <c r="AB248">
        <v>0</v>
      </c>
      <c r="AC248">
        <v>0</v>
      </c>
      <c r="AD248">
        <v>0</v>
      </c>
      <c r="AE248">
        <v>0</v>
      </c>
      <c r="AF248">
        <v>0</v>
      </c>
      <c r="AG248">
        <v>0</v>
      </c>
      <c r="AH248">
        <v>0</v>
      </c>
      <c r="AI248">
        <v>0</v>
      </c>
      <c r="AJ248">
        <v>0</v>
      </c>
      <c r="AK248">
        <v>0</v>
      </c>
      <c r="AL248">
        <v>0</v>
      </c>
      <c r="AM248">
        <v>0</v>
      </c>
      <c r="AN248">
        <v>1</v>
      </c>
      <c r="AO248">
        <v>0</v>
      </c>
      <c r="AP248">
        <v>0</v>
      </c>
    </row>
    <row r="249" spans="4:42" x14ac:dyDescent="0.45">
      <c r="D249">
        <v>2023</v>
      </c>
      <c r="E249">
        <v>3</v>
      </c>
      <c r="F249">
        <v>23567000</v>
      </c>
      <c r="G249">
        <v>2088200.97</v>
      </c>
      <c r="H249">
        <v>1605372.83</v>
      </c>
      <c r="I249">
        <v>387861.95</v>
      </c>
      <c r="J249">
        <v>33540.86</v>
      </c>
      <c r="K249">
        <v>179</v>
      </c>
      <c r="L249">
        <v>13</v>
      </c>
      <c r="M249">
        <v>991</v>
      </c>
      <c r="N249">
        <v>10</v>
      </c>
      <c r="O249">
        <v>35</v>
      </c>
      <c r="P249">
        <v>705796.01</v>
      </c>
      <c r="Q249">
        <v>108.22</v>
      </c>
      <c r="R249">
        <v>107.09</v>
      </c>
      <c r="S249">
        <v>0</v>
      </c>
      <c r="T249">
        <v>0</v>
      </c>
      <c r="U249">
        <v>1</v>
      </c>
      <c r="V249">
        <v>0</v>
      </c>
      <c r="W249">
        <v>0</v>
      </c>
      <c r="X249">
        <v>0</v>
      </c>
      <c r="Y249">
        <v>0</v>
      </c>
      <c r="Z249">
        <v>0</v>
      </c>
      <c r="AA249">
        <v>0</v>
      </c>
      <c r="AB249">
        <v>0</v>
      </c>
      <c r="AC249">
        <v>0</v>
      </c>
      <c r="AD249">
        <v>0</v>
      </c>
      <c r="AE249">
        <v>0</v>
      </c>
      <c r="AF249">
        <v>1</v>
      </c>
      <c r="AG249">
        <v>0</v>
      </c>
      <c r="AH249">
        <v>0</v>
      </c>
      <c r="AI249">
        <v>0</v>
      </c>
      <c r="AJ249">
        <v>0</v>
      </c>
      <c r="AK249">
        <v>0</v>
      </c>
      <c r="AL249">
        <v>0</v>
      </c>
      <c r="AM249">
        <v>0</v>
      </c>
      <c r="AN249">
        <v>0</v>
      </c>
      <c r="AO249">
        <v>0</v>
      </c>
      <c r="AP249">
        <v>0</v>
      </c>
    </row>
    <row r="250" spans="4:42" x14ac:dyDescent="0.45">
      <c r="D250">
        <v>2023</v>
      </c>
      <c r="E250">
        <v>3</v>
      </c>
      <c r="F250">
        <v>7820000</v>
      </c>
      <c r="G250">
        <v>664299.13</v>
      </c>
      <c r="H250">
        <v>339851.07</v>
      </c>
      <c r="I250">
        <v>303739.81</v>
      </c>
      <c r="J250">
        <v>33400.15</v>
      </c>
      <c r="K250">
        <v>44</v>
      </c>
      <c r="L250">
        <v>1</v>
      </c>
      <c r="M250">
        <v>61</v>
      </c>
      <c r="N250">
        <v>4</v>
      </c>
      <c r="O250">
        <v>18</v>
      </c>
      <c r="P250">
        <v>72552.73</v>
      </c>
      <c r="Q250">
        <v>110.34</v>
      </c>
      <c r="R250">
        <v>106.59</v>
      </c>
      <c r="S250">
        <v>0</v>
      </c>
      <c r="T250">
        <v>0</v>
      </c>
      <c r="U250">
        <v>1</v>
      </c>
      <c r="V250">
        <v>0</v>
      </c>
      <c r="W250">
        <v>0</v>
      </c>
      <c r="X250">
        <v>0</v>
      </c>
      <c r="Y250">
        <v>0</v>
      </c>
      <c r="Z250">
        <v>0</v>
      </c>
      <c r="AA250">
        <v>0</v>
      </c>
      <c r="AB250">
        <v>0</v>
      </c>
      <c r="AC250">
        <v>0</v>
      </c>
      <c r="AD250">
        <v>0</v>
      </c>
      <c r="AE250">
        <v>0</v>
      </c>
      <c r="AF250">
        <v>0</v>
      </c>
      <c r="AG250">
        <v>1</v>
      </c>
      <c r="AH250">
        <v>0</v>
      </c>
      <c r="AI250">
        <v>0</v>
      </c>
      <c r="AJ250">
        <v>0</v>
      </c>
      <c r="AK250">
        <v>0</v>
      </c>
      <c r="AL250">
        <v>0</v>
      </c>
      <c r="AM250">
        <v>0</v>
      </c>
      <c r="AN250">
        <v>0</v>
      </c>
      <c r="AO250">
        <v>0</v>
      </c>
      <c r="AP250">
        <v>0</v>
      </c>
    </row>
    <row r="251" spans="4:42" x14ac:dyDescent="0.45">
      <c r="D251">
        <v>2023</v>
      </c>
      <c r="E251">
        <v>4</v>
      </c>
      <c r="F251">
        <v>26781000</v>
      </c>
      <c r="G251">
        <v>2374517.21</v>
      </c>
      <c r="H251">
        <v>1747966.5</v>
      </c>
      <c r="I251">
        <v>556191.69999999995</v>
      </c>
      <c r="J251">
        <v>51203.89</v>
      </c>
      <c r="K251">
        <v>211</v>
      </c>
      <c r="L251">
        <v>18</v>
      </c>
      <c r="M251">
        <v>478</v>
      </c>
      <c r="N251">
        <v>7</v>
      </c>
      <c r="O251">
        <v>34</v>
      </c>
      <c r="P251">
        <v>603172.56999999995</v>
      </c>
      <c r="Q251">
        <v>108.63</v>
      </c>
      <c r="R251">
        <v>108.03</v>
      </c>
      <c r="S251">
        <v>0</v>
      </c>
      <c r="T251">
        <v>0</v>
      </c>
      <c r="U251">
        <v>0</v>
      </c>
      <c r="V251">
        <v>0</v>
      </c>
      <c r="W251">
        <v>1</v>
      </c>
      <c r="X251">
        <v>0</v>
      </c>
      <c r="Y251">
        <v>0</v>
      </c>
      <c r="Z251">
        <v>0</v>
      </c>
      <c r="AA251">
        <v>0</v>
      </c>
      <c r="AB251">
        <v>0</v>
      </c>
      <c r="AC251">
        <v>0</v>
      </c>
      <c r="AD251">
        <v>0</v>
      </c>
      <c r="AE251">
        <v>0</v>
      </c>
      <c r="AF251">
        <v>0</v>
      </c>
      <c r="AG251">
        <v>0</v>
      </c>
      <c r="AH251">
        <v>0</v>
      </c>
      <c r="AI251">
        <v>0</v>
      </c>
      <c r="AJ251">
        <v>0</v>
      </c>
      <c r="AK251">
        <v>0</v>
      </c>
      <c r="AL251">
        <v>0</v>
      </c>
      <c r="AM251">
        <v>1</v>
      </c>
      <c r="AN251">
        <v>0</v>
      </c>
      <c r="AO251">
        <v>0</v>
      </c>
      <c r="AP251">
        <v>0</v>
      </c>
    </row>
    <row r="252" spans="4:42" x14ac:dyDescent="0.45">
      <c r="D252">
        <v>2023</v>
      </c>
      <c r="E252">
        <v>4</v>
      </c>
      <c r="F252">
        <v>3749000</v>
      </c>
      <c r="G252">
        <v>336281.09</v>
      </c>
      <c r="H252">
        <v>292087.65000000002</v>
      </c>
      <c r="I252">
        <v>40447.269999999997</v>
      </c>
      <c r="J252">
        <v>6043.12</v>
      </c>
      <c r="K252">
        <v>28</v>
      </c>
      <c r="L252">
        <v>0</v>
      </c>
      <c r="M252">
        <v>41</v>
      </c>
      <c r="N252">
        <v>0</v>
      </c>
      <c r="O252">
        <v>11</v>
      </c>
      <c r="P252">
        <v>6120.73</v>
      </c>
      <c r="Q252">
        <v>106.45</v>
      </c>
      <c r="R252">
        <v>107.9</v>
      </c>
      <c r="S252">
        <v>0</v>
      </c>
      <c r="T252">
        <v>0</v>
      </c>
      <c r="U252">
        <v>0</v>
      </c>
      <c r="V252">
        <v>0</v>
      </c>
      <c r="W252">
        <v>1</v>
      </c>
      <c r="X252">
        <v>0</v>
      </c>
      <c r="Y252">
        <v>0</v>
      </c>
      <c r="Z252">
        <v>0</v>
      </c>
      <c r="AA252">
        <v>0</v>
      </c>
      <c r="AB252">
        <v>0</v>
      </c>
      <c r="AC252">
        <v>0</v>
      </c>
      <c r="AD252">
        <v>0</v>
      </c>
      <c r="AE252">
        <v>0</v>
      </c>
      <c r="AF252">
        <v>0</v>
      </c>
      <c r="AG252">
        <v>0</v>
      </c>
      <c r="AH252">
        <v>0</v>
      </c>
      <c r="AI252">
        <v>0</v>
      </c>
      <c r="AJ252">
        <v>0</v>
      </c>
      <c r="AK252">
        <v>0</v>
      </c>
      <c r="AL252">
        <v>0</v>
      </c>
      <c r="AM252">
        <v>0</v>
      </c>
      <c r="AN252">
        <v>0</v>
      </c>
      <c r="AO252">
        <v>0</v>
      </c>
      <c r="AP252">
        <v>0</v>
      </c>
    </row>
    <row r="253" spans="4:42" x14ac:dyDescent="0.45">
      <c r="D253">
        <v>2023</v>
      </c>
      <c r="E253">
        <v>4</v>
      </c>
      <c r="F253">
        <v>6642000</v>
      </c>
      <c r="G253">
        <v>537800.31000000006</v>
      </c>
      <c r="H253">
        <v>267381.15999999997</v>
      </c>
      <c r="I253">
        <v>218444.79999999999</v>
      </c>
      <c r="J253">
        <v>39475.32</v>
      </c>
      <c r="K253">
        <v>29</v>
      </c>
      <c r="L253">
        <v>7</v>
      </c>
      <c r="M253">
        <v>37</v>
      </c>
      <c r="N253">
        <v>2</v>
      </c>
      <c r="O253">
        <v>16</v>
      </c>
      <c r="P253">
        <v>36153.360000000001</v>
      </c>
      <c r="Q253">
        <v>108.59</v>
      </c>
      <c r="R253">
        <v>108.5</v>
      </c>
      <c r="S253">
        <v>0</v>
      </c>
      <c r="T253">
        <v>0</v>
      </c>
      <c r="U253">
        <v>0</v>
      </c>
      <c r="V253">
        <v>0</v>
      </c>
      <c r="W253">
        <v>1</v>
      </c>
      <c r="X253">
        <v>0</v>
      </c>
      <c r="Y253">
        <v>0</v>
      </c>
      <c r="Z253">
        <v>0</v>
      </c>
      <c r="AA253">
        <v>0</v>
      </c>
      <c r="AB253">
        <v>0</v>
      </c>
      <c r="AC253">
        <v>0</v>
      </c>
      <c r="AD253">
        <v>0</v>
      </c>
      <c r="AE253">
        <v>0</v>
      </c>
      <c r="AF253">
        <v>0</v>
      </c>
      <c r="AG253">
        <v>0</v>
      </c>
      <c r="AH253">
        <v>1</v>
      </c>
      <c r="AI253">
        <v>0</v>
      </c>
      <c r="AJ253">
        <v>0</v>
      </c>
      <c r="AK253">
        <v>0</v>
      </c>
      <c r="AL253">
        <v>0</v>
      </c>
      <c r="AM253">
        <v>0</v>
      </c>
      <c r="AN253">
        <v>0</v>
      </c>
      <c r="AO253">
        <v>0</v>
      </c>
      <c r="AP253">
        <v>0</v>
      </c>
    </row>
    <row r="254" spans="4:42" x14ac:dyDescent="0.45">
      <c r="D254">
        <v>2023</v>
      </c>
      <c r="E254">
        <v>4</v>
      </c>
      <c r="F254">
        <v>8570000</v>
      </c>
      <c r="G254">
        <v>694742.27</v>
      </c>
      <c r="H254">
        <v>472495.49</v>
      </c>
      <c r="I254">
        <v>218278.69</v>
      </c>
      <c r="J254">
        <v>22525.45</v>
      </c>
      <c r="K254">
        <v>65</v>
      </c>
      <c r="L254">
        <v>4</v>
      </c>
      <c r="M254">
        <v>121</v>
      </c>
      <c r="N254">
        <v>4</v>
      </c>
      <c r="O254">
        <v>19</v>
      </c>
      <c r="P254">
        <v>113473.47</v>
      </c>
      <c r="Q254">
        <v>105.65</v>
      </c>
      <c r="R254">
        <v>107.34</v>
      </c>
      <c r="S254">
        <v>0</v>
      </c>
      <c r="T254">
        <v>0</v>
      </c>
      <c r="U254">
        <v>0</v>
      </c>
      <c r="V254">
        <v>0</v>
      </c>
      <c r="W254">
        <v>1</v>
      </c>
      <c r="X254">
        <v>0</v>
      </c>
      <c r="Y254">
        <v>0</v>
      </c>
      <c r="Z254">
        <v>0</v>
      </c>
      <c r="AA254">
        <v>0</v>
      </c>
      <c r="AB254">
        <v>0</v>
      </c>
      <c r="AC254">
        <v>0</v>
      </c>
      <c r="AD254">
        <v>0</v>
      </c>
      <c r="AE254">
        <v>0</v>
      </c>
      <c r="AF254">
        <v>0</v>
      </c>
      <c r="AG254">
        <v>0</v>
      </c>
      <c r="AH254">
        <v>0</v>
      </c>
      <c r="AI254">
        <v>0</v>
      </c>
      <c r="AJ254">
        <v>1</v>
      </c>
      <c r="AK254">
        <v>0</v>
      </c>
      <c r="AL254">
        <v>0</v>
      </c>
      <c r="AM254">
        <v>0</v>
      </c>
      <c r="AN254">
        <v>0</v>
      </c>
      <c r="AO254">
        <v>0</v>
      </c>
      <c r="AP254">
        <v>0</v>
      </c>
    </row>
    <row r="255" spans="4:42" x14ac:dyDescent="0.45">
      <c r="D255">
        <v>2023</v>
      </c>
      <c r="E255">
        <v>4</v>
      </c>
      <c r="F255">
        <v>14462000</v>
      </c>
      <c r="G255">
        <v>1010618.03</v>
      </c>
      <c r="H255">
        <v>579497.17000000004</v>
      </c>
      <c r="I255">
        <v>442122.91</v>
      </c>
      <c r="J255">
        <v>36025.870000000003</v>
      </c>
      <c r="K255">
        <v>79</v>
      </c>
      <c r="L255">
        <v>2</v>
      </c>
      <c r="M255">
        <v>88</v>
      </c>
      <c r="N255">
        <v>3</v>
      </c>
      <c r="O255">
        <v>22</v>
      </c>
      <c r="P255">
        <v>117352.39</v>
      </c>
      <c r="Q255">
        <v>110.93</v>
      </c>
      <c r="R255">
        <v>107.13</v>
      </c>
      <c r="S255">
        <v>0</v>
      </c>
      <c r="T255">
        <v>0</v>
      </c>
      <c r="U255">
        <v>0</v>
      </c>
      <c r="V255">
        <v>0</v>
      </c>
      <c r="W255">
        <v>1</v>
      </c>
      <c r="X255">
        <v>0</v>
      </c>
      <c r="Y255">
        <v>0</v>
      </c>
      <c r="Z255">
        <v>0</v>
      </c>
      <c r="AA255">
        <v>0</v>
      </c>
      <c r="AB255">
        <v>0</v>
      </c>
      <c r="AC255">
        <v>0</v>
      </c>
      <c r="AD255">
        <v>0</v>
      </c>
      <c r="AE255">
        <v>0</v>
      </c>
      <c r="AF255">
        <v>0</v>
      </c>
      <c r="AG255">
        <v>0</v>
      </c>
      <c r="AH255">
        <v>0</v>
      </c>
      <c r="AI255">
        <v>0</v>
      </c>
      <c r="AJ255">
        <v>0</v>
      </c>
      <c r="AK255">
        <v>0</v>
      </c>
      <c r="AL255">
        <v>0</v>
      </c>
      <c r="AM255">
        <v>0</v>
      </c>
      <c r="AN255">
        <v>1</v>
      </c>
      <c r="AO255">
        <v>0</v>
      </c>
      <c r="AP255">
        <v>0</v>
      </c>
    </row>
    <row r="256" spans="4:42" x14ac:dyDescent="0.45">
      <c r="D256">
        <v>2023</v>
      </c>
      <c r="E256">
        <v>4</v>
      </c>
      <c r="F256">
        <v>5142000</v>
      </c>
      <c r="G256">
        <v>415251.87</v>
      </c>
      <c r="H256">
        <v>355733.68</v>
      </c>
      <c r="I256">
        <v>60862.22</v>
      </c>
      <c r="J256">
        <v>7392.52</v>
      </c>
      <c r="K256">
        <v>38</v>
      </c>
      <c r="L256">
        <v>4</v>
      </c>
      <c r="M256">
        <v>58</v>
      </c>
      <c r="N256">
        <v>1</v>
      </c>
      <c r="O256">
        <v>10</v>
      </c>
      <c r="P256">
        <v>12126.14</v>
      </c>
      <c r="Q256">
        <v>107.48</v>
      </c>
      <c r="R256">
        <v>107.04</v>
      </c>
      <c r="S256">
        <v>0</v>
      </c>
      <c r="T256">
        <v>0</v>
      </c>
      <c r="U256">
        <v>0</v>
      </c>
      <c r="V256">
        <v>0</v>
      </c>
      <c r="W256">
        <v>1</v>
      </c>
      <c r="X256">
        <v>0</v>
      </c>
      <c r="Y256">
        <v>0</v>
      </c>
      <c r="Z256">
        <v>0</v>
      </c>
      <c r="AA256">
        <v>0</v>
      </c>
      <c r="AB256">
        <v>0</v>
      </c>
      <c r="AC256">
        <v>0</v>
      </c>
      <c r="AD256">
        <v>1</v>
      </c>
      <c r="AE256">
        <v>0</v>
      </c>
      <c r="AF256">
        <v>0</v>
      </c>
      <c r="AG256">
        <v>0</v>
      </c>
      <c r="AH256">
        <v>0</v>
      </c>
      <c r="AI256">
        <v>0</v>
      </c>
      <c r="AJ256">
        <v>0</v>
      </c>
      <c r="AK256">
        <v>0</v>
      </c>
      <c r="AL256">
        <v>0</v>
      </c>
      <c r="AM256">
        <v>0</v>
      </c>
      <c r="AN256">
        <v>0</v>
      </c>
      <c r="AO256">
        <v>0</v>
      </c>
      <c r="AP256">
        <v>0</v>
      </c>
    </row>
    <row r="257" spans="4:42" x14ac:dyDescent="0.45">
      <c r="D257">
        <v>2023</v>
      </c>
      <c r="E257">
        <v>4</v>
      </c>
      <c r="F257">
        <v>23567000</v>
      </c>
      <c r="G257">
        <v>2044970.4</v>
      </c>
      <c r="H257">
        <v>1733667.74</v>
      </c>
      <c r="I257">
        <v>389929.27</v>
      </c>
      <c r="J257">
        <v>19373.240000000002</v>
      </c>
      <c r="K257">
        <v>189</v>
      </c>
      <c r="L257">
        <v>12</v>
      </c>
      <c r="M257">
        <v>717</v>
      </c>
      <c r="N257">
        <v>4</v>
      </c>
      <c r="O257">
        <v>26</v>
      </c>
      <c r="P257">
        <v>229555.64</v>
      </c>
      <c r="Q257">
        <v>109.86</v>
      </c>
      <c r="R257">
        <v>107.72</v>
      </c>
      <c r="S257">
        <v>0</v>
      </c>
      <c r="T257">
        <v>0</v>
      </c>
      <c r="U257">
        <v>0</v>
      </c>
      <c r="V257">
        <v>0</v>
      </c>
      <c r="W257">
        <v>1</v>
      </c>
      <c r="X257">
        <v>0</v>
      </c>
      <c r="Y257">
        <v>0</v>
      </c>
      <c r="Z257">
        <v>0</v>
      </c>
      <c r="AA257">
        <v>0</v>
      </c>
      <c r="AB257">
        <v>0</v>
      </c>
      <c r="AC257">
        <v>0</v>
      </c>
      <c r="AD257">
        <v>0</v>
      </c>
      <c r="AE257">
        <v>0</v>
      </c>
      <c r="AF257">
        <v>1</v>
      </c>
      <c r="AG257">
        <v>0</v>
      </c>
      <c r="AH257">
        <v>0</v>
      </c>
      <c r="AI257">
        <v>0</v>
      </c>
      <c r="AJ257">
        <v>0</v>
      </c>
      <c r="AK257">
        <v>0</v>
      </c>
      <c r="AL257">
        <v>0</v>
      </c>
      <c r="AM257">
        <v>0</v>
      </c>
      <c r="AN257">
        <v>0</v>
      </c>
      <c r="AO257">
        <v>0</v>
      </c>
      <c r="AP257">
        <v>0</v>
      </c>
    </row>
    <row r="258" spans="4:42" x14ac:dyDescent="0.45">
      <c r="D258">
        <v>2023</v>
      </c>
      <c r="E258">
        <v>4</v>
      </c>
      <c r="F258">
        <v>7820000</v>
      </c>
      <c r="G258">
        <v>620694.73</v>
      </c>
      <c r="H258">
        <v>329659.63</v>
      </c>
      <c r="I258">
        <v>263533.84999999998</v>
      </c>
      <c r="J258">
        <v>30493.8</v>
      </c>
      <c r="K258">
        <v>42</v>
      </c>
      <c r="L258">
        <v>3</v>
      </c>
      <c r="M258">
        <v>48</v>
      </c>
      <c r="N258">
        <v>1</v>
      </c>
      <c r="O258">
        <v>14</v>
      </c>
      <c r="P258">
        <v>40306.300000000003</v>
      </c>
      <c r="Q258">
        <v>106.81</v>
      </c>
      <c r="R258">
        <v>107.03</v>
      </c>
      <c r="S258">
        <v>0</v>
      </c>
      <c r="T258">
        <v>0</v>
      </c>
      <c r="U258">
        <v>0</v>
      </c>
      <c r="V258">
        <v>0</v>
      </c>
      <c r="W258">
        <v>1</v>
      </c>
      <c r="X258">
        <v>0</v>
      </c>
      <c r="Y258">
        <v>0</v>
      </c>
      <c r="Z258">
        <v>0</v>
      </c>
      <c r="AA258">
        <v>0</v>
      </c>
      <c r="AB258">
        <v>0</v>
      </c>
      <c r="AC258">
        <v>0</v>
      </c>
      <c r="AD258">
        <v>0</v>
      </c>
      <c r="AE258">
        <v>0</v>
      </c>
      <c r="AF258">
        <v>0</v>
      </c>
      <c r="AG258">
        <v>1</v>
      </c>
      <c r="AH258">
        <v>0</v>
      </c>
      <c r="AI258">
        <v>0</v>
      </c>
      <c r="AJ258">
        <v>0</v>
      </c>
      <c r="AK258">
        <v>0</v>
      </c>
      <c r="AL258">
        <v>0</v>
      </c>
      <c r="AM258">
        <v>0</v>
      </c>
      <c r="AN258">
        <v>0</v>
      </c>
      <c r="AO258">
        <v>0</v>
      </c>
      <c r="AP258">
        <v>0</v>
      </c>
    </row>
    <row r="259" spans="4:42" x14ac:dyDescent="0.45">
      <c r="D259">
        <v>2023</v>
      </c>
      <c r="E259">
        <v>4</v>
      </c>
      <c r="F259">
        <v>20353000</v>
      </c>
      <c r="G259">
        <v>1348283.66</v>
      </c>
      <c r="H259">
        <v>767045.3</v>
      </c>
      <c r="I259">
        <v>702937.1</v>
      </c>
      <c r="J259">
        <v>33500.53</v>
      </c>
      <c r="K259">
        <v>94</v>
      </c>
      <c r="L259">
        <v>10</v>
      </c>
      <c r="M259">
        <v>257</v>
      </c>
      <c r="N259">
        <v>7</v>
      </c>
      <c r="O259">
        <v>30</v>
      </c>
      <c r="P259">
        <v>352939.54</v>
      </c>
      <c r="Q259">
        <v>106.1</v>
      </c>
      <c r="R259">
        <v>107.42</v>
      </c>
      <c r="S259">
        <v>0</v>
      </c>
      <c r="T259">
        <v>0</v>
      </c>
      <c r="U259">
        <v>0</v>
      </c>
      <c r="V259">
        <v>0</v>
      </c>
      <c r="W259">
        <v>1</v>
      </c>
      <c r="X259">
        <v>0</v>
      </c>
      <c r="Y259">
        <v>0</v>
      </c>
      <c r="Z259">
        <v>0</v>
      </c>
      <c r="AA259">
        <v>0</v>
      </c>
      <c r="AB259">
        <v>0</v>
      </c>
      <c r="AC259">
        <v>0</v>
      </c>
      <c r="AD259">
        <v>0</v>
      </c>
      <c r="AE259">
        <v>0</v>
      </c>
      <c r="AF259">
        <v>0</v>
      </c>
      <c r="AG259">
        <v>0</v>
      </c>
      <c r="AH259">
        <v>0</v>
      </c>
      <c r="AI259">
        <v>0</v>
      </c>
      <c r="AJ259">
        <v>0</v>
      </c>
      <c r="AK259">
        <v>0</v>
      </c>
      <c r="AL259">
        <v>0</v>
      </c>
      <c r="AM259">
        <v>0</v>
      </c>
      <c r="AN259">
        <v>0</v>
      </c>
      <c r="AO259">
        <v>0</v>
      </c>
      <c r="AP259">
        <v>1</v>
      </c>
    </row>
    <row r="260" spans="4:42" x14ac:dyDescent="0.45">
      <c r="D260">
        <v>2023</v>
      </c>
      <c r="E260">
        <v>4</v>
      </c>
      <c r="F260">
        <v>4499000</v>
      </c>
      <c r="G260">
        <v>407333.69</v>
      </c>
      <c r="H260">
        <v>302678.28000000003</v>
      </c>
      <c r="I260">
        <v>57527.94</v>
      </c>
      <c r="J260">
        <v>42736.76</v>
      </c>
      <c r="K260">
        <v>31</v>
      </c>
      <c r="L260">
        <v>6</v>
      </c>
      <c r="M260">
        <v>44</v>
      </c>
      <c r="N260">
        <v>2</v>
      </c>
      <c r="O260">
        <v>11</v>
      </c>
      <c r="P260">
        <v>21995.68</v>
      </c>
      <c r="Q260">
        <v>108</v>
      </c>
      <c r="R260">
        <v>107.25</v>
      </c>
      <c r="S260">
        <v>0</v>
      </c>
      <c r="T260">
        <v>0</v>
      </c>
      <c r="U260">
        <v>0</v>
      </c>
      <c r="V260">
        <v>0</v>
      </c>
      <c r="W260">
        <v>1</v>
      </c>
      <c r="X260">
        <v>0</v>
      </c>
      <c r="Y260">
        <v>0</v>
      </c>
      <c r="Z260">
        <v>0</v>
      </c>
      <c r="AA260">
        <v>0</v>
      </c>
      <c r="AB260">
        <v>0</v>
      </c>
      <c r="AC260">
        <v>0</v>
      </c>
      <c r="AD260">
        <v>0</v>
      </c>
      <c r="AE260">
        <v>0</v>
      </c>
      <c r="AF260">
        <v>0</v>
      </c>
      <c r="AG260">
        <v>0</v>
      </c>
      <c r="AH260">
        <v>0</v>
      </c>
      <c r="AI260">
        <v>0</v>
      </c>
      <c r="AJ260">
        <v>0</v>
      </c>
      <c r="AK260">
        <v>0</v>
      </c>
      <c r="AL260">
        <v>1</v>
      </c>
      <c r="AM260">
        <v>0</v>
      </c>
      <c r="AN260">
        <v>0</v>
      </c>
      <c r="AO260">
        <v>0</v>
      </c>
      <c r="AP260">
        <v>0</v>
      </c>
    </row>
    <row r="261" spans="4:42" x14ac:dyDescent="0.45">
      <c r="D261">
        <v>2023</v>
      </c>
      <c r="E261">
        <v>5</v>
      </c>
      <c r="F261">
        <v>3749000</v>
      </c>
      <c r="G261">
        <v>336939.12</v>
      </c>
      <c r="H261">
        <v>291896.13</v>
      </c>
      <c r="I261">
        <v>39703.86</v>
      </c>
      <c r="J261">
        <v>4083.86</v>
      </c>
      <c r="K261">
        <v>29</v>
      </c>
      <c r="L261">
        <v>1</v>
      </c>
      <c r="M261">
        <v>51</v>
      </c>
      <c r="N261">
        <v>0</v>
      </c>
      <c r="O261">
        <v>6</v>
      </c>
      <c r="P261">
        <v>3389.34</v>
      </c>
      <c r="Q261">
        <v>105.04</v>
      </c>
      <c r="R261">
        <v>108.11</v>
      </c>
      <c r="S261">
        <v>0</v>
      </c>
      <c r="T261">
        <v>0</v>
      </c>
      <c r="U261">
        <v>0</v>
      </c>
      <c r="V261">
        <v>1</v>
      </c>
      <c r="W261">
        <v>0</v>
      </c>
      <c r="X261">
        <v>0</v>
      </c>
      <c r="Y261">
        <v>0</v>
      </c>
      <c r="Z261">
        <v>0</v>
      </c>
      <c r="AA261">
        <v>0</v>
      </c>
      <c r="AB261">
        <v>0</v>
      </c>
      <c r="AC261">
        <v>0</v>
      </c>
      <c r="AD261">
        <v>0</v>
      </c>
      <c r="AE261">
        <v>0</v>
      </c>
      <c r="AF261">
        <v>0</v>
      </c>
      <c r="AG261">
        <v>0</v>
      </c>
      <c r="AH261">
        <v>0</v>
      </c>
      <c r="AI261">
        <v>0</v>
      </c>
      <c r="AJ261">
        <v>0</v>
      </c>
      <c r="AK261">
        <v>0</v>
      </c>
      <c r="AL261">
        <v>0</v>
      </c>
      <c r="AM261">
        <v>0</v>
      </c>
      <c r="AN261">
        <v>0</v>
      </c>
      <c r="AO261">
        <v>0</v>
      </c>
      <c r="AP261">
        <v>0</v>
      </c>
    </row>
    <row r="262" spans="4:42" x14ac:dyDescent="0.45">
      <c r="D262">
        <v>2023</v>
      </c>
      <c r="E262">
        <v>5</v>
      </c>
      <c r="F262">
        <v>4499000</v>
      </c>
      <c r="G262">
        <v>380360.16</v>
      </c>
      <c r="H262">
        <v>307264.3</v>
      </c>
      <c r="I262">
        <v>65069.43</v>
      </c>
      <c r="J262">
        <v>9768.09</v>
      </c>
      <c r="K262">
        <v>32</v>
      </c>
      <c r="L262">
        <v>1</v>
      </c>
      <c r="M262">
        <v>53</v>
      </c>
      <c r="N262">
        <v>1</v>
      </c>
      <c r="O262">
        <v>7</v>
      </c>
      <c r="P262">
        <v>11338.87</v>
      </c>
      <c r="Q262">
        <v>106.39</v>
      </c>
      <c r="R262">
        <v>108.35</v>
      </c>
      <c r="S262">
        <v>0</v>
      </c>
      <c r="T262">
        <v>0</v>
      </c>
      <c r="U262">
        <v>0</v>
      </c>
      <c r="V262">
        <v>1</v>
      </c>
      <c r="W262">
        <v>0</v>
      </c>
      <c r="X262">
        <v>0</v>
      </c>
      <c r="Y262">
        <v>0</v>
      </c>
      <c r="Z262">
        <v>0</v>
      </c>
      <c r="AA262">
        <v>0</v>
      </c>
      <c r="AB262">
        <v>0</v>
      </c>
      <c r="AC262">
        <v>0</v>
      </c>
      <c r="AD262">
        <v>0</v>
      </c>
      <c r="AE262">
        <v>0</v>
      </c>
      <c r="AF262">
        <v>0</v>
      </c>
      <c r="AG262">
        <v>0</v>
      </c>
      <c r="AH262">
        <v>0</v>
      </c>
      <c r="AI262">
        <v>0</v>
      </c>
      <c r="AJ262">
        <v>0</v>
      </c>
      <c r="AK262">
        <v>0</v>
      </c>
      <c r="AL262">
        <v>1</v>
      </c>
      <c r="AM262">
        <v>0</v>
      </c>
      <c r="AN262">
        <v>0</v>
      </c>
      <c r="AO262">
        <v>0</v>
      </c>
      <c r="AP262">
        <v>0</v>
      </c>
    </row>
    <row r="263" spans="4:42" x14ac:dyDescent="0.45">
      <c r="D263">
        <v>2023</v>
      </c>
      <c r="E263">
        <v>5</v>
      </c>
      <c r="F263">
        <v>23567000</v>
      </c>
      <c r="G263">
        <v>2132439.73</v>
      </c>
      <c r="H263">
        <v>1634405.3</v>
      </c>
      <c r="I263">
        <v>399629.14</v>
      </c>
      <c r="J263">
        <v>25883.86</v>
      </c>
      <c r="K263">
        <v>176</v>
      </c>
      <c r="L263">
        <v>16</v>
      </c>
      <c r="M263">
        <v>604</v>
      </c>
      <c r="N263">
        <v>9</v>
      </c>
      <c r="O263">
        <v>37</v>
      </c>
      <c r="P263">
        <v>441582.58</v>
      </c>
      <c r="Q263">
        <v>106.49</v>
      </c>
      <c r="R263">
        <v>107.32</v>
      </c>
      <c r="S263">
        <v>0</v>
      </c>
      <c r="T263">
        <v>0</v>
      </c>
      <c r="U263">
        <v>0</v>
      </c>
      <c r="V263">
        <v>1</v>
      </c>
      <c r="W263">
        <v>0</v>
      </c>
      <c r="X263">
        <v>0</v>
      </c>
      <c r="Y263">
        <v>0</v>
      </c>
      <c r="Z263">
        <v>0</v>
      </c>
      <c r="AA263">
        <v>0</v>
      </c>
      <c r="AB263">
        <v>0</v>
      </c>
      <c r="AC263">
        <v>0</v>
      </c>
      <c r="AD263">
        <v>0</v>
      </c>
      <c r="AE263">
        <v>0</v>
      </c>
      <c r="AF263">
        <v>1</v>
      </c>
      <c r="AG263">
        <v>0</v>
      </c>
      <c r="AH263">
        <v>0</v>
      </c>
      <c r="AI263">
        <v>0</v>
      </c>
      <c r="AJ263">
        <v>0</v>
      </c>
      <c r="AK263">
        <v>0</v>
      </c>
      <c r="AL263">
        <v>0</v>
      </c>
      <c r="AM263">
        <v>0</v>
      </c>
      <c r="AN263">
        <v>0</v>
      </c>
      <c r="AO263">
        <v>0</v>
      </c>
      <c r="AP263">
        <v>0</v>
      </c>
    </row>
    <row r="264" spans="4:42" x14ac:dyDescent="0.45">
      <c r="D264">
        <v>2023</v>
      </c>
      <c r="E264">
        <v>5</v>
      </c>
      <c r="F264">
        <v>6642000</v>
      </c>
      <c r="G264">
        <v>506840.22</v>
      </c>
      <c r="H264">
        <v>277191.69</v>
      </c>
      <c r="I264">
        <v>195046.96</v>
      </c>
      <c r="J264">
        <v>36054.03</v>
      </c>
      <c r="K264">
        <v>31</v>
      </c>
      <c r="L264">
        <v>3</v>
      </c>
      <c r="M264">
        <v>53</v>
      </c>
      <c r="N264">
        <v>4</v>
      </c>
      <c r="O264">
        <v>28</v>
      </c>
      <c r="P264">
        <v>56943.83</v>
      </c>
      <c r="Q264">
        <v>106.8</v>
      </c>
      <c r="R264">
        <v>107.8</v>
      </c>
      <c r="S264">
        <v>0</v>
      </c>
      <c r="T264">
        <v>0</v>
      </c>
      <c r="U264">
        <v>0</v>
      </c>
      <c r="V264">
        <v>1</v>
      </c>
      <c r="W264">
        <v>0</v>
      </c>
      <c r="X264">
        <v>0</v>
      </c>
      <c r="Y264">
        <v>0</v>
      </c>
      <c r="Z264">
        <v>0</v>
      </c>
      <c r="AA264">
        <v>0</v>
      </c>
      <c r="AB264">
        <v>0</v>
      </c>
      <c r="AC264">
        <v>0</v>
      </c>
      <c r="AD264">
        <v>0</v>
      </c>
      <c r="AE264">
        <v>0</v>
      </c>
      <c r="AF264">
        <v>0</v>
      </c>
      <c r="AG264">
        <v>0</v>
      </c>
      <c r="AH264">
        <v>0</v>
      </c>
      <c r="AI264">
        <v>1</v>
      </c>
      <c r="AJ264">
        <v>0</v>
      </c>
      <c r="AK264">
        <v>0</v>
      </c>
      <c r="AL264">
        <v>0</v>
      </c>
      <c r="AM264">
        <v>0</v>
      </c>
      <c r="AN264">
        <v>0</v>
      </c>
      <c r="AO264">
        <v>0</v>
      </c>
      <c r="AP264">
        <v>0</v>
      </c>
    </row>
    <row r="265" spans="4:42" x14ac:dyDescent="0.45">
      <c r="D265">
        <v>2023</v>
      </c>
      <c r="E265">
        <v>5</v>
      </c>
      <c r="F265">
        <v>5142000</v>
      </c>
      <c r="G265">
        <v>427884.18</v>
      </c>
      <c r="H265">
        <v>362938.05</v>
      </c>
      <c r="I265">
        <v>61042.84</v>
      </c>
      <c r="J265">
        <v>5789.78</v>
      </c>
      <c r="K265">
        <v>37</v>
      </c>
      <c r="L265">
        <v>2</v>
      </c>
      <c r="M265">
        <v>46</v>
      </c>
      <c r="N265">
        <v>3</v>
      </c>
      <c r="O265">
        <v>14</v>
      </c>
      <c r="P265">
        <v>47429.17</v>
      </c>
      <c r="Q265">
        <v>104.2</v>
      </c>
      <c r="R265">
        <v>107.74</v>
      </c>
      <c r="S265">
        <v>0</v>
      </c>
      <c r="T265">
        <v>0</v>
      </c>
      <c r="U265">
        <v>0</v>
      </c>
      <c r="V265">
        <v>1</v>
      </c>
      <c r="W265">
        <v>0</v>
      </c>
      <c r="X265">
        <v>0</v>
      </c>
      <c r="Y265">
        <v>0</v>
      </c>
      <c r="Z265">
        <v>0</v>
      </c>
      <c r="AA265">
        <v>0</v>
      </c>
      <c r="AB265">
        <v>0</v>
      </c>
      <c r="AC265">
        <v>0</v>
      </c>
      <c r="AD265">
        <v>1</v>
      </c>
      <c r="AE265">
        <v>0</v>
      </c>
      <c r="AF265">
        <v>0</v>
      </c>
      <c r="AG265">
        <v>0</v>
      </c>
      <c r="AH265">
        <v>0</v>
      </c>
      <c r="AI265">
        <v>0</v>
      </c>
      <c r="AJ265">
        <v>0</v>
      </c>
      <c r="AK265">
        <v>0</v>
      </c>
      <c r="AL265">
        <v>0</v>
      </c>
      <c r="AM265">
        <v>0</v>
      </c>
      <c r="AN265">
        <v>0</v>
      </c>
      <c r="AO265">
        <v>0</v>
      </c>
      <c r="AP265">
        <v>0</v>
      </c>
    </row>
    <row r="266" spans="4:42" x14ac:dyDescent="0.45">
      <c r="D266">
        <v>2023</v>
      </c>
      <c r="E266">
        <v>5</v>
      </c>
      <c r="F266">
        <v>20353000</v>
      </c>
      <c r="G266">
        <v>1653682.47</v>
      </c>
      <c r="H266">
        <v>785219.35</v>
      </c>
      <c r="I266">
        <v>741172.35</v>
      </c>
      <c r="J266">
        <v>115559.59</v>
      </c>
      <c r="K266">
        <v>100</v>
      </c>
      <c r="L266">
        <v>5</v>
      </c>
      <c r="M266">
        <v>336</v>
      </c>
      <c r="N266">
        <v>9</v>
      </c>
      <c r="O266">
        <v>32</v>
      </c>
      <c r="P266">
        <v>430389.61</v>
      </c>
      <c r="Q266">
        <v>104.96</v>
      </c>
      <c r="R266">
        <v>107.01</v>
      </c>
      <c r="S266">
        <v>0</v>
      </c>
      <c r="T266">
        <v>0</v>
      </c>
      <c r="U266">
        <v>0</v>
      </c>
      <c r="V266">
        <v>1</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c r="AP266">
        <v>1</v>
      </c>
    </row>
    <row r="267" spans="4:42" x14ac:dyDescent="0.45">
      <c r="D267">
        <v>2023</v>
      </c>
      <c r="E267">
        <v>5</v>
      </c>
      <c r="F267">
        <v>7820000</v>
      </c>
      <c r="G267">
        <v>635438.54</v>
      </c>
      <c r="H267">
        <v>357123.82</v>
      </c>
      <c r="I267">
        <v>249376.94</v>
      </c>
      <c r="J267">
        <v>28057.78</v>
      </c>
      <c r="K267">
        <v>46</v>
      </c>
      <c r="L267">
        <v>3</v>
      </c>
      <c r="M267">
        <v>0</v>
      </c>
      <c r="N267">
        <v>0</v>
      </c>
      <c r="O267">
        <v>11</v>
      </c>
      <c r="P267">
        <v>13534.25</v>
      </c>
      <c r="Q267">
        <v>107.39</v>
      </c>
      <c r="R267">
        <v>108.46</v>
      </c>
      <c r="S267">
        <v>0</v>
      </c>
      <c r="T267">
        <v>0</v>
      </c>
      <c r="U267">
        <v>0</v>
      </c>
      <c r="V267">
        <v>1</v>
      </c>
      <c r="W267">
        <v>0</v>
      </c>
      <c r="X267">
        <v>0</v>
      </c>
      <c r="Y267">
        <v>0</v>
      </c>
      <c r="Z267">
        <v>0</v>
      </c>
      <c r="AA267">
        <v>0</v>
      </c>
      <c r="AB267">
        <v>0</v>
      </c>
      <c r="AC267">
        <v>0</v>
      </c>
      <c r="AD267">
        <v>0</v>
      </c>
      <c r="AE267">
        <v>0</v>
      </c>
      <c r="AF267">
        <v>0</v>
      </c>
      <c r="AG267">
        <v>1</v>
      </c>
      <c r="AH267">
        <v>0</v>
      </c>
      <c r="AI267">
        <v>0</v>
      </c>
      <c r="AJ267">
        <v>0</v>
      </c>
      <c r="AK267">
        <v>0</v>
      </c>
      <c r="AL267">
        <v>0</v>
      </c>
      <c r="AM267">
        <v>0</v>
      </c>
      <c r="AN267">
        <v>0</v>
      </c>
      <c r="AO267">
        <v>0</v>
      </c>
      <c r="AP267">
        <v>0</v>
      </c>
    </row>
    <row r="268" spans="4:42" x14ac:dyDescent="0.45">
      <c r="D268">
        <v>2023</v>
      </c>
      <c r="E268">
        <v>5</v>
      </c>
      <c r="F268">
        <v>8570000</v>
      </c>
      <c r="G268">
        <v>684602.44</v>
      </c>
      <c r="H268">
        <v>479089.61</v>
      </c>
      <c r="I268">
        <v>197366.31</v>
      </c>
      <c r="J268">
        <v>11782.6</v>
      </c>
      <c r="K268">
        <v>66</v>
      </c>
      <c r="L268">
        <v>7</v>
      </c>
      <c r="M268">
        <v>57</v>
      </c>
      <c r="N268">
        <v>4</v>
      </c>
      <c r="O268">
        <v>19</v>
      </c>
      <c r="P268">
        <v>89118.77</v>
      </c>
      <c r="Q268">
        <v>103.82</v>
      </c>
      <c r="R268">
        <v>107.25</v>
      </c>
      <c r="S268">
        <v>0</v>
      </c>
      <c r="T268">
        <v>0</v>
      </c>
      <c r="U268">
        <v>0</v>
      </c>
      <c r="V268">
        <v>1</v>
      </c>
      <c r="W268">
        <v>0</v>
      </c>
      <c r="X268">
        <v>0</v>
      </c>
      <c r="Y268">
        <v>0</v>
      </c>
      <c r="Z268">
        <v>0</v>
      </c>
      <c r="AA268">
        <v>0</v>
      </c>
      <c r="AB268">
        <v>0</v>
      </c>
      <c r="AC268">
        <v>0</v>
      </c>
      <c r="AD268">
        <v>0</v>
      </c>
      <c r="AE268">
        <v>0</v>
      </c>
      <c r="AF268">
        <v>0</v>
      </c>
      <c r="AG268">
        <v>0</v>
      </c>
      <c r="AH268">
        <v>0</v>
      </c>
      <c r="AI268">
        <v>0</v>
      </c>
      <c r="AJ268">
        <v>1</v>
      </c>
      <c r="AK268">
        <v>0</v>
      </c>
      <c r="AL268">
        <v>0</v>
      </c>
      <c r="AM268">
        <v>0</v>
      </c>
      <c r="AN268">
        <v>0</v>
      </c>
      <c r="AO268">
        <v>0</v>
      </c>
      <c r="AP268">
        <v>0</v>
      </c>
    </row>
    <row r="269" spans="4:42" x14ac:dyDescent="0.45">
      <c r="D269">
        <v>2023</v>
      </c>
      <c r="E269">
        <v>5</v>
      </c>
      <c r="F269">
        <v>14462000</v>
      </c>
      <c r="G269">
        <v>1214575.24</v>
      </c>
      <c r="H269">
        <v>589637.19999999995</v>
      </c>
      <c r="I269">
        <v>518637.02</v>
      </c>
      <c r="J269">
        <v>63034.73</v>
      </c>
      <c r="K269">
        <v>79</v>
      </c>
      <c r="L269">
        <v>3</v>
      </c>
      <c r="M269">
        <v>129</v>
      </c>
      <c r="N269">
        <v>8</v>
      </c>
      <c r="O269">
        <v>32</v>
      </c>
      <c r="P269">
        <v>266826.19</v>
      </c>
      <c r="Q269">
        <v>107.78</v>
      </c>
      <c r="R269">
        <v>107.99</v>
      </c>
      <c r="S269">
        <v>0</v>
      </c>
      <c r="T269">
        <v>0</v>
      </c>
      <c r="U269">
        <v>0</v>
      </c>
      <c r="V269">
        <v>1</v>
      </c>
      <c r="W269">
        <v>0</v>
      </c>
      <c r="X269">
        <v>0</v>
      </c>
      <c r="Y269">
        <v>0</v>
      </c>
      <c r="Z269">
        <v>0</v>
      </c>
      <c r="AA269">
        <v>0</v>
      </c>
      <c r="AB269">
        <v>0</v>
      </c>
      <c r="AC269">
        <v>0</v>
      </c>
      <c r="AD269">
        <v>0</v>
      </c>
      <c r="AE269">
        <v>0</v>
      </c>
      <c r="AF269">
        <v>0</v>
      </c>
      <c r="AG269">
        <v>0</v>
      </c>
      <c r="AH269">
        <v>0</v>
      </c>
      <c r="AI269">
        <v>0</v>
      </c>
      <c r="AJ269">
        <v>0</v>
      </c>
      <c r="AK269">
        <v>0</v>
      </c>
      <c r="AL269">
        <v>0</v>
      </c>
      <c r="AM269">
        <v>0</v>
      </c>
      <c r="AN269">
        <v>1</v>
      </c>
      <c r="AO269">
        <v>0</v>
      </c>
      <c r="AP269">
        <v>0</v>
      </c>
    </row>
    <row r="270" spans="4:42" x14ac:dyDescent="0.45">
      <c r="D270">
        <v>2023</v>
      </c>
      <c r="E270">
        <v>5</v>
      </c>
      <c r="F270">
        <v>26781000</v>
      </c>
      <c r="G270">
        <v>2317518.9300000002</v>
      </c>
      <c r="H270">
        <v>1784236.79</v>
      </c>
      <c r="I270">
        <v>486548.42</v>
      </c>
      <c r="J270">
        <v>34070.9</v>
      </c>
      <c r="K270">
        <v>203</v>
      </c>
      <c r="L270">
        <v>19</v>
      </c>
      <c r="M270">
        <v>973</v>
      </c>
      <c r="N270">
        <v>6</v>
      </c>
      <c r="O270">
        <v>35</v>
      </c>
      <c r="P270">
        <v>399446.22</v>
      </c>
      <c r="Q270">
        <v>105.88</v>
      </c>
      <c r="R270">
        <v>107.64</v>
      </c>
      <c r="S270">
        <v>0</v>
      </c>
      <c r="T270">
        <v>0</v>
      </c>
      <c r="U270">
        <v>0</v>
      </c>
      <c r="V270">
        <v>1</v>
      </c>
      <c r="W270">
        <v>0</v>
      </c>
      <c r="X270">
        <v>0</v>
      </c>
      <c r="Y270">
        <v>0</v>
      </c>
      <c r="Z270">
        <v>0</v>
      </c>
      <c r="AA270">
        <v>0</v>
      </c>
      <c r="AB270">
        <v>0</v>
      </c>
      <c r="AC270">
        <v>0</v>
      </c>
      <c r="AD270">
        <v>0</v>
      </c>
      <c r="AE270">
        <v>0</v>
      </c>
      <c r="AF270">
        <v>0</v>
      </c>
      <c r="AG270">
        <v>0</v>
      </c>
      <c r="AH270">
        <v>0</v>
      </c>
      <c r="AI270">
        <v>0</v>
      </c>
      <c r="AJ270">
        <v>0</v>
      </c>
      <c r="AK270">
        <v>0</v>
      </c>
      <c r="AL270">
        <v>0</v>
      </c>
      <c r="AM270">
        <v>1</v>
      </c>
      <c r="AN270">
        <v>0</v>
      </c>
      <c r="AO270">
        <v>0</v>
      </c>
      <c r="AP270">
        <v>0</v>
      </c>
    </row>
    <row r="271" spans="4:42" x14ac:dyDescent="0.45">
      <c r="D271">
        <v>2023</v>
      </c>
      <c r="E271">
        <v>6</v>
      </c>
      <c r="F271">
        <v>20353000</v>
      </c>
      <c r="G271">
        <v>1757393.76</v>
      </c>
      <c r="H271">
        <v>803144.52</v>
      </c>
      <c r="I271">
        <v>795577.67</v>
      </c>
      <c r="J271">
        <v>72700.070000000007</v>
      </c>
      <c r="K271">
        <v>97</v>
      </c>
      <c r="L271">
        <v>6</v>
      </c>
      <c r="M271">
        <v>529</v>
      </c>
      <c r="N271">
        <v>6</v>
      </c>
      <c r="O271">
        <v>33</v>
      </c>
      <c r="P271">
        <v>369442.93</v>
      </c>
      <c r="Q271">
        <v>104.44</v>
      </c>
      <c r="R271">
        <v>106.72</v>
      </c>
      <c r="S271">
        <v>0</v>
      </c>
      <c r="T271">
        <v>0</v>
      </c>
      <c r="U271">
        <v>0</v>
      </c>
      <c r="V271">
        <v>0</v>
      </c>
      <c r="W271">
        <v>0</v>
      </c>
      <c r="X271">
        <v>0</v>
      </c>
      <c r="Y271">
        <v>0</v>
      </c>
      <c r="Z271">
        <v>1</v>
      </c>
      <c r="AA271">
        <v>0</v>
      </c>
      <c r="AB271">
        <v>0</v>
      </c>
      <c r="AC271">
        <v>0</v>
      </c>
      <c r="AD271">
        <v>0</v>
      </c>
      <c r="AE271">
        <v>0</v>
      </c>
      <c r="AF271">
        <v>0</v>
      </c>
      <c r="AG271">
        <v>0</v>
      </c>
      <c r="AH271">
        <v>0</v>
      </c>
      <c r="AI271">
        <v>0</v>
      </c>
      <c r="AJ271">
        <v>0</v>
      </c>
      <c r="AK271">
        <v>0</v>
      </c>
      <c r="AL271">
        <v>0</v>
      </c>
      <c r="AM271">
        <v>0</v>
      </c>
      <c r="AN271">
        <v>0</v>
      </c>
      <c r="AO271">
        <v>0</v>
      </c>
      <c r="AP271">
        <v>1</v>
      </c>
    </row>
    <row r="272" spans="4:42" x14ac:dyDescent="0.45">
      <c r="D272">
        <v>2023</v>
      </c>
      <c r="E272">
        <v>6</v>
      </c>
      <c r="F272">
        <v>5142000</v>
      </c>
      <c r="G272">
        <v>449360.56</v>
      </c>
      <c r="H272">
        <v>378891.15</v>
      </c>
      <c r="I272">
        <v>62525.5</v>
      </c>
      <c r="J272">
        <v>3039.35</v>
      </c>
      <c r="K272">
        <v>38</v>
      </c>
      <c r="L272">
        <v>0</v>
      </c>
      <c r="M272">
        <v>91</v>
      </c>
      <c r="N272">
        <v>2</v>
      </c>
      <c r="O272">
        <v>10</v>
      </c>
      <c r="P272">
        <v>18734.32</v>
      </c>
      <c r="Q272">
        <v>104.83</v>
      </c>
      <c r="R272">
        <v>107.58</v>
      </c>
      <c r="S272">
        <v>0</v>
      </c>
      <c r="T272">
        <v>0</v>
      </c>
      <c r="U272">
        <v>0</v>
      </c>
      <c r="V272">
        <v>0</v>
      </c>
      <c r="W272">
        <v>0</v>
      </c>
      <c r="X272">
        <v>0</v>
      </c>
      <c r="Y272">
        <v>0</v>
      </c>
      <c r="Z272">
        <v>1</v>
      </c>
      <c r="AA272">
        <v>0</v>
      </c>
      <c r="AB272">
        <v>0</v>
      </c>
      <c r="AC272">
        <v>0</v>
      </c>
      <c r="AD272">
        <v>1</v>
      </c>
      <c r="AE272">
        <v>0</v>
      </c>
      <c r="AF272">
        <v>0</v>
      </c>
      <c r="AG272">
        <v>0</v>
      </c>
      <c r="AH272">
        <v>0</v>
      </c>
      <c r="AI272">
        <v>0</v>
      </c>
      <c r="AJ272">
        <v>0</v>
      </c>
      <c r="AK272">
        <v>0</v>
      </c>
      <c r="AL272">
        <v>0</v>
      </c>
      <c r="AM272">
        <v>0</v>
      </c>
      <c r="AN272">
        <v>0</v>
      </c>
      <c r="AO272">
        <v>0</v>
      </c>
      <c r="AP272">
        <v>0</v>
      </c>
    </row>
    <row r="273" spans="4:42" x14ac:dyDescent="0.45">
      <c r="D273">
        <v>2023</v>
      </c>
      <c r="E273">
        <v>6</v>
      </c>
      <c r="F273">
        <v>7820000</v>
      </c>
      <c r="G273">
        <v>604989.25</v>
      </c>
      <c r="H273">
        <v>346936.05</v>
      </c>
      <c r="I273">
        <v>253069.57</v>
      </c>
      <c r="J273">
        <v>24188.04</v>
      </c>
      <c r="K273">
        <v>45</v>
      </c>
      <c r="L273">
        <v>2</v>
      </c>
      <c r="M273">
        <v>43</v>
      </c>
      <c r="N273">
        <v>3</v>
      </c>
      <c r="O273">
        <v>14</v>
      </c>
      <c r="P273">
        <v>48943.12</v>
      </c>
      <c r="Q273">
        <v>105.17</v>
      </c>
      <c r="R273">
        <v>106.89</v>
      </c>
      <c r="S273">
        <v>0</v>
      </c>
      <c r="T273">
        <v>0</v>
      </c>
      <c r="U273">
        <v>0</v>
      </c>
      <c r="V273">
        <v>0</v>
      </c>
      <c r="W273">
        <v>0</v>
      </c>
      <c r="X273">
        <v>0</v>
      </c>
      <c r="Y273">
        <v>0</v>
      </c>
      <c r="Z273">
        <v>1</v>
      </c>
      <c r="AA273">
        <v>0</v>
      </c>
      <c r="AB273">
        <v>0</v>
      </c>
      <c r="AC273">
        <v>0</v>
      </c>
      <c r="AD273">
        <v>0</v>
      </c>
      <c r="AE273">
        <v>0</v>
      </c>
      <c r="AF273">
        <v>0</v>
      </c>
      <c r="AG273">
        <v>1</v>
      </c>
      <c r="AH273">
        <v>0</v>
      </c>
      <c r="AI273">
        <v>0</v>
      </c>
      <c r="AJ273">
        <v>0</v>
      </c>
      <c r="AK273">
        <v>0</v>
      </c>
      <c r="AL273">
        <v>0</v>
      </c>
      <c r="AM273">
        <v>0</v>
      </c>
      <c r="AN273">
        <v>0</v>
      </c>
      <c r="AO273">
        <v>0</v>
      </c>
      <c r="AP273">
        <v>0</v>
      </c>
    </row>
    <row r="274" spans="4:42" x14ac:dyDescent="0.45">
      <c r="D274">
        <v>2023</v>
      </c>
      <c r="E274">
        <v>6</v>
      </c>
      <c r="F274">
        <v>3749000</v>
      </c>
      <c r="G274">
        <v>326661.26</v>
      </c>
      <c r="H274">
        <v>279725.65000000002</v>
      </c>
      <c r="I274">
        <v>42384.43</v>
      </c>
      <c r="J274">
        <v>6479.36</v>
      </c>
      <c r="K274">
        <v>28</v>
      </c>
      <c r="L274">
        <v>3</v>
      </c>
      <c r="M274">
        <v>40</v>
      </c>
      <c r="N274">
        <v>1</v>
      </c>
      <c r="O274">
        <v>8</v>
      </c>
      <c r="P274">
        <v>9327.09</v>
      </c>
      <c r="Q274">
        <v>106.44</v>
      </c>
      <c r="R274">
        <v>107.85</v>
      </c>
      <c r="S274">
        <v>0</v>
      </c>
      <c r="T274">
        <v>0</v>
      </c>
      <c r="U274">
        <v>0</v>
      </c>
      <c r="V274">
        <v>0</v>
      </c>
      <c r="W274">
        <v>0</v>
      </c>
      <c r="X274">
        <v>0</v>
      </c>
      <c r="Y274">
        <v>0</v>
      </c>
      <c r="Z274">
        <v>1</v>
      </c>
      <c r="AA274">
        <v>0</v>
      </c>
      <c r="AB274">
        <v>0</v>
      </c>
      <c r="AC274">
        <v>0</v>
      </c>
      <c r="AD274">
        <v>0</v>
      </c>
      <c r="AE274">
        <v>0</v>
      </c>
      <c r="AF274">
        <v>0</v>
      </c>
      <c r="AG274">
        <v>0</v>
      </c>
      <c r="AH274">
        <v>0</v>
      </c>
      <c r="AI274">
        <v>0</v>
      </c>
      <c r="AJ274">
        <v>0</v>
      </c>
      <c r="AK274">
        <v>0</v>
      </c>
      <c r="AL274">
        <v>0</v>
      </c>
      <c r="AM274">
        <v>0</v>
      </c>
      <c r="AN274">
        <v>0</v>
      </c>
      <c r="AO274">
        <v>0</v>
      </c>
      <c r="AP274">
        <v>0</v>
      </c>
    </row>
    <row r="275" spans="4:42" x14ac:dyDescent="0.45">
      <c r="D275">
        <v>2023</v>
      </c>
      <c r="E275">
        <v>6</v>
      </c>
      <c r="F275">
        <v>8570000</v>
      </c>
      <c r="G275">
        <v>697923.33</v>
      </c>
      <c r="H275">
        <v>455348.86</v>
      </c>
      <c r="I275">
        <v>234017.8</v>
      </c>
      <c r="J275">
        <v>18346.41</v>
      </c>
      <c r="K275">
        <v>66</v>
      </c>
      <c r="L275">
        <v>7</v>
      </c>
      <c r="M275">
        <v>71</v>
      </c>
      <c r="N275">
        <v>2</v>
      </c>
      <c r="O275">
        <v>14</v>
      </c>
      <c r="P275">
        <v>42590.37</v>
      </c>
      <c r="Q275">
        <v>105.05</v>
      </c>
      <c r="R275">
        <v>108.17</v>
      </c>
      <c r="S275">
        <v>0</v>
      </c>
      <c r="T275">
        <v>0</v>
      </c>
      <c r="U275">
        <v>0</v>
      </c>
      <c r="V275">
        <v>0</v>
      </c>
      <c r="W275">
        <v>0</v>
      </c>
      <c r="X275">
        <v>0</v>
      </c>
      <c r="Y275">
        <v>0</v>
      </c>
      <c r="Z275">
        <v>1</v>
      </c>
      <c r="AA275">
        <v>0</v>
      </c>
      <c r="AB275">
        <v>0</v>
      </c>
      <c r="AC275">
        <v>0</v>
      </c>
      <c r="AD275">
        <v>0</v>
      </c>
      <c r="AE275">
        <v>0</v>
      </c>
      <c r="AF275">
        <v>0</v>
      </c>
      <c r="AG275">
        <v>0</v>
      </c>
      <c r="AH275">
        <v>0</v>
      </c>
      <c r="AI275">
        <v>0</v>
      </c>
      <c r="AJ275">
        <v>1</v>
      </c>
      <c r="AK275">
        <v>0</v>
      </c>
      <c r="AL275">
        <v>0</v>
      </c>
      <c r="AM275">
        <v>0</v>
      </c>
      <c r="AN275">
        <v>0</v>
      </c>
      <c r="AO275">
        <v>0</v>
      </c>
      <c r="AP275">
        <v>0</v>
      </c>
    </row>
    <row r="276" spans="4:42" x14ac:dyDescent="0.45">
      <c r="D276">
        <v>2023</v>
      </c>
      <c r="E276">
        <v>6</v>
      </c>
      <c r="F276">
        <v>4499000</v>
      </c>
      <c r="G276">
        <v>365981.27</v>
      </c>
      <c r="H276">
        <v>292867.74</v>
      </c>
      <c r="I276">
        <v>61325.599999999999</v>
      </c>
      <c r="J276">
        <v>4410.37</v>
      </c>
      <c r="K276">
        <v>31</v>
      </c>
      <c r="L276">
        <v>5</v>
      </c>
      <c r="M276">
        <v>27</v>
      </c>
      <c r="N276">
        <v>1</v>
      </c>
      <c r="O276">
        <v>14</v>
      </c>
      <c r="P276">
        <v>22076.71</v>
      </c>
      <c r="Q276">
        <v>104</v>
      </c>
      <c r="R276">
        <v>108.48</v>
      </c>
      <c r="S276">
        <v>0</v>
      </c>
      <c r="T276">
        <v>0</v>
      </c>
      <c r="U276">
        <v>0</v>
      </c>
      <c r="V276">
        <v>0</v>
      </c>
      <c r="W276">
        <v>0</v>
      </c>
      <c r="X276">
        <v>0</v>
      </c>
      <c r="Y276">
        <v>0</v>
      </c>
      <c r="Z276">
        <v>1</v>
      </c>
      <c r="AA276">
        <v>0</v>
      </c>
      <c r="AB276">
        <v>0</v>
      </c>
      <c r="AC276">
        <v>0</v>
      </c>
      <c r="AD276">
        <v>0</v>
      </c>
      <c r="AE276">
        <v>0</v>
      </c>
      <c r="AF276">
        <v>0</v>
      </c>
      <c r="AG276">
        <v>0</v>
      </c>
      <c r="AH276">
        <v>0</v>
      </c>
      <c r="AI276">
        <v>0</v>
      </c>
      <c r="AJ276">
        <v>0</v>
      </c>
      <c r="AK276">
        <v>0</v>
      </c>
      <c r="AL276">
        <v>1</v>
      </c>
      <c r="AM276">
        <v>0</v>
      </c>
      <c r="AN276">
        <v>0</v>
      </c>
      <c r="AO276">
        <v>0</v>
      </c>
      <c r="AP276">
        <v>0</v>
      </c>
    </row>
    <row r="277" spans="4:42" x14ac:dyDescent="0.45">
      <c r="D277">
        <v>2023</v>
      </c>
      <c r="E277">
        <v>6</v>
      </c>
      <c r="F277">
        <v>14462000</v>
      </c>
      <c r="G277">
        <v>1345811.77</v>
      </c>
      <c r="H277">
        <v>589790.84</v>
      </c>
      <c r="I277">
        <v>433571.48</v>
      </c>
      <c r="J277">
        <v>319599.12</v>
      </c>
      <c r="K277">
        <v>80</v>
      </c>
      <c r="L277">
        <v>8</v>
      </c>
      <c r="M277">
        <v>80</v>
      </c>
      <c r="N277">
        <v>4</v>
      </c>
      <c r="O277">
        <v>19</v>
      </c>
      <c r="P277">
        <v>137649.60000000001</v>
      </c>
      <c r="Q277">
        <v>109.54</v>
      </c>
      <c r="R277">
        <v>107.42</v>
      </c>
      <c r="S277">
        <v>0</v>
      </c>
      <c r="T277">
        <v>0</v>
      </c>
      <c r="U277">
        <v>0</v>
      </c>
      <c r="V277">
        <v>0</v>
      </c>
      <c r="W277">
        <v>0</v>
      </c>
      <c r="X277">
        <v>0</v>
      </c>
      <c r="Y277">
        <v>0</v>
      </c>
      <c r="Z277">
        <v>1</v>
      </c>
      <c r="AA277">
        <v>0</v>
      </c>
      <c r="AB277">
        <v>0</v>
      </c>
      <c r="AC277">
        <v>0</v>
      </c>
      <c r="AD277">
        <v>0</v>
      </c>
      <c r="AE277">
        <v>0</v>
      </c>
      <c r="AF277">
        <v>0</v>
      </c>
      <c r="AG277">
        <v>0</v>
      </c>
      <c r="AH277">
        <v>0</v>
      </c>
      <c r="AI277">
        <v>0</v>
      </c>
      <c r="AJ277">
        <v>0</v>
      </c>
      <c r="AK277">
        <v>0</v>
      </c>
      <c r="AL277">
        <v>0</v>
      </c>
      <c r="AM277">
        <v>0</v>
      </c>
      <c r="AN277">
        <v>1</v>
      </c>
      <c r="AO277">
        <v>0</v>
      </c>
      <c r="AP277">
        <v>0</v>
      </c>
    </row>
    <row r="278" spans="4:42" x14ac:dyDescent="0.45">
      <c r="D278">
        <v>2023</v>
      </c>
      <c r="E278">
        <v>6</v>
      </c>
      <c r="F278">
        <v>26781000</v>
      </c>
      <c r="G278">
        <v>2208167.06</v>
      </c>
      <c r="H278">
        <v>1737134.62</v>
      </c>
      <c r="I278">
        <v>420468.87</v>
      </c>
      <c r="J278">
        <v>38704.089999999997</v>
      </c>
      <c r="K278">
        <v>212</v>
      </c>
      <c r="L278">
        <v>16</v>
      </c>
      <c r="M278">
        <v>758</v>
      </c>
      <c r="N278">
        <v>9</v>
      </c>
      <c r="O278">
        <v>33</v>
      </c>
      <c r="P278">
        <v>695425.28</v>
      </c>
      <c r="Q278">
        <v>108.06</v>
      </c>
      <c r="R278">
        <v>108.81</v>
      </c>
      <c r="S278">
        <v>0</v>
      </c>
      <c r="T278">
        <v>0</v>
      </c>
      <c r="U278">
        <v>0</v>
      </c>
      <c r="V278">
        <v>0</v>
      </c>
      <c r="W278">
        <v>0</v>
      </c>
      <c r="X278">
        <v>0</v>
      </c>
      <c r="Y278">
        <v>0</v>
      </c>
      <c r="Z278">
        <v>1</v>
      </c>
      <c r="AA278">
        <v>0</v>
      </c>
      <c r="AB278">
        <v>0</v>
      </c>
      <c r="AC278">
        <v>0</v>
      </c>
      <c r="AD278">
        <v>0</v>
      </c>
      <c r="AE278">
        <v>0</v>
      </c>
      <c r="AF278">
        <v>0</v>
      </c>
      <c r="AG278">
        <v>0</v>
      </c>
      <c r="AH278">
        <v>0</v>
      </c>
      <c r="AI278">
        <v>0</v>
      </c>
      <c r="AJ278">
        <v>0</v>
      </c>
      <c r="AK278">
        <v>0</v>
      </c>
      <c r="AL278">
        <v>0</v>
      </c>
      <c r="AM278">
        <v>1</v>
      </c>
      <c r="AN278">
        <v>0</v>
      </c>
      <c r="AO278">
        <v>0</v>
      </c>
      <c r="AP278">
        <v>0</v>
      </c>
    </row>
    <row r="279" spans="4:42" x14ac:dyDescent="0.45">
      <c r="D279">
        <v>2023</v>
      </c>
      <c r="E279">
        <v>6</v>
      </c>
      <c r="F279">
        <v>23567000</v>
      </c>
      <c r="G279">
        <v>2011128.14</v>
      </c>
      <c r="H279">
        <v>1616599.17</v>
      </c>
      <c r="I279">
        <v>422605.37</v>
      </c>
      <c r="J279">
        <v>22269.31</v>
      </c>
      <c r="K279">
        <v>180</v>
      </c>
      <c r="L279">
        <v>13</v>
      </c>
      <c r="M279">
        <v>576</v>
      </c>
      <c r="N279">
        <v>6</v>
      </c>
      <c r="O279">
        <v>31</v>
      </c>
      <c r="P279">
        <v>430766.51</v>
      </c>
      <c r="Q279">
        <v>105.46</v>
      </c>
      <c r="R279">
        <v>107.9</v>
      </c>
      <c r="S279">
        <v>0</v>
      </c>
      <c r="T279">
        <v>0</v>
      </c>
      <c r="U279">
        <v>0</v>
      </c>
      <c r="V279">
        <v>0</v>
      </c>
      <c r="W279">
        <v>0</v>
      </c>
      <c r="X279">
        <v>0</v>
      </c>
      <c r="Y279">
        <v>0</v>
      </c>
      <c r="Z279">
        <v>1</v>
      </c>
      <c r="AA279">
        <v>0</v>
      </c>
      <c r="AB279">
        <v>0</v>
      </c>
      <c r="AC279">
        <v>0</v>
      </c>
      <c r="AD279">
        <v>0</v>
      </c>
      <c r="AE279">
        <v>0</v>
      </c>
      <c r="AF279">
        <v>1</v>
      </c>
      <c r="AG279">
        <v>0</v>
      </c>
      <c r="AH279">
        <v>0</v>
      </c>
      <c r="AI279">
        <v>0</v>
      </c>
      <c r="AJ279">
        <v>0</v>
      </c>
      <c r="AK279">
        <v>0</v>
      </c>
      <c r="AL279">
        <v>0</v>
      </c>
      <c r="AM279">
        <v>0</v>
      </c>
      <c r="AN279">
        <v>0</v>
      </c>
      <c r="AO279">
        <v>0</v>
      </c>
      <c r="AP279">
        <v>0</v>
      </c>
    </row>
    <row r="280" spans="4:42" x14ac:dyDescent="0.45">
      <c r="D280">
        <v>2023</v>
      </c>
      <c r="E280">
        <v>6</v>
      </c>
      <c r="F280">
        <v>6642000</v>
      </c>
      <c r="G280">
        <v>531809.6</v>
      </c>
      <c r="H280">
        <v>269831.78999999998</v>
      </c>
      <c r="I280">
        <v>255366.98</v>
      </c>
      <c r="J280">
        <v>10889.13</v>
      </c>
      <c r="K280">
        <v>30</v>
      </c>
      <c r="L280">
        <v>4</v>
      </c>
      <c r="M280">
        <v>27</v>
      </c>
      <c r="N280">
        <v>0</v>
      </c>
      <c r="O280">
        <v>12</v>
      </c>
      <c r="P280">
        <v>13086.43</v>
      </c>
      <c r="Q280">
        <v>103.44</v>
      </c>
      <c r="R280">
        <v>109.12</v>
      </c>
      <c r="S280">
        <v>0</v>
      </c>
      <c r="T280">
        <v>0</v>
      </c>
      <c r="U280">
        <v>0</v>
      </c>
      <c r="V280">
        <v>0</v>
      </c>
      <c r="W280">
        <v>0</v>
      </c>
      <c r="X280">
        <v>0</v>
      </c>
      <c r="Y280">
        <v>0</v>
      </c>
      <c r="Z280">
        <v>1</v>
      </c>
      <c r="AA280">
        <v>0</v>
      </c>
      <c r="AB280">
        <v>0</v>
      </c>
      <c r="AC280">
        <v>0</v>
      </c>
      <c r="AD280">
        <v>0</v>
      </c>
      <c r="AE280">
        <v>0</v>
      </c>
      <c r="AF280">
        <v>0</v>
      </c>
      <c r="AG280">
        <v>0</v>
      </c>
      <c r="AH280">
        <v>1</v>
      </c>
      <c r="AI280">
        <v>0</v>
      </c>
      <c r="AJ280">
        <v>0</v>
      </c>
      <c r="AK280">
        <v>0</v>
      </c>
      <c r="AL280">
        <v>0</v>
      </c>
      <c r="AM280">
        <v>0</v>
      </c>
      <c r="AN280">
        <v>0</v>
      </c>
      <c r="AO280">
        <v>0</v>
      </c>
      <c r="AP280">
        <v>0</v>
      </c>
    </row>
    <row r="281" spans="4:42" x14ac:dyDescent="0.45">
      <c r="D281">
        <v>2023</v>
      </c>
      <c r="E281">
        <v>7</v>
      </c>
      <c r="F281">
        <v>5142000</v>
      </c>
      <c r="G281">
        <v>440137.2</v>
      </c>
      <c r="H281">
        <v>356264.93</v>
      </c>
      <c r="I281">
        <v>62944.68</v>
      </c>
      <c r="J281">
        <v>24939.599999999999</v>
      </c>
      <c r="K281">
        <v>36</v>
      </c>
      <c r="L281">
        <v>1</v>
      </c>
      <c r="M281">
        <v>67</v>
      </c>
      <c r="N281">
        <v>0</v>
      </c>
      <c r="O281">
        <v>13</v>
      </c>
      <c r="P281">
        <v>12162.21</v>
      </c>
      <c r="Q281">
        <v>104.97</v>
      </c>
      <c r="R281">
        <v>108.39</v>
      </c>
      <c r="S281">
        <v>1</v>
      </c>
      <c r="T281">
        <v>0</v>
      </c>
      <c r="U281">
        <v>0</v>
      </c>
      <c r="V281">
        <v>0</v>
      </c>
      <c r="W281">
        <v>0</v>
      </c>
      <c r="X281">
        <v>0</v>
      </c>
      <c r="Y281">
        <v>0</v>
      </c>
      <c r="Z281">
        <v>0</v>
      </c>
      <c r="AA281">
        <v>0</v>
      </c>
      <c r="AB281">
        <v>0</v>
      </c>
      <c r="AC281">
        <v>0</v>
      </c>
      <c r="AD281">
        <v>1</v>
      </c>
      <c r="AE281">
        <v>0</v>
      </c>
      <c r="AF281">
        <v>0</v>
      </c>
      <c r="AG281">
        <v>0</v>
      </c>
      <c r="AH281">
        <v>0</v>
      </c>
      <c r="AI281">
        <v>0</v>
      </c>
      <c r="AJ281">
        <v>0</v>
      </c>
      <c r="AK281">
        <v>0</v>
      </c>
      <c r="AL281">
        <v>0</v>
      </c>
      <c r="AM281">
        <v>0</v>
      </c>
      <c r="AN281">
        <v>0</v>
      </c>
      <c r="AO281">
        <v>0</v>
      </c>
      <c r="AP281">
        <v>0</v>
      </c>
    </row>
    <row r="282" spans="4:42" x14ac:dyDescent="0.45">
      <c r="D282">
        <v>2023</v>
      </c>
      <c r="E282">
        <v>7</v>
      </c>
      <c r="F282">
        <v>8570000</v>
      </c>
      <c r="G282">
        <v>607073.81999999995</v>
      </c>
      <c r="H282">
        <v>415510.22</v>
      </c>
      <c r="I282">
        <v>211510.28</v>
      </c>
      <c r="J282">
        <v>26615.03</v>
      </c>
      <c r="K282">
        <v>60</v>
      </c>
      <c r="L282">
        <v>6</v>
      </c>
      <c r="M282">
        <v>73</v>
      </c>
      <c r="N282">
        <v>4</v>
      </c>
      <c r="O282">
        <v>19</v>
      </c>
      <c r="P282">
        <v>111344.58</v>
      </c>
      <c r="Q282">
        <v>108.89</v>
      </c>
      <c r="R282">
        <v>107.84</v>
      </c>
      <c r="S282">
        <v>1</v>
      </c>
      <c r="T282">
        <v>0</v>
      </c>
      <c r="U282">
        <v>0</v>
      </c>
      <c r="V282">
        <v>0</v>
      </c>
      <c r="W282">
        <v>0</v>
      </c>
      <c r="X282">
        <v>0</v>
      </c>
      <c r="Y282">
        <v>0</v>
      </c>
      <c r="Z282">
        <v>0</v>
      </c>
      <c r="AA282">
        <v>0</v>
      </c>
      <c r="AB282">
        <v>0</v>
      </c>
      <c r="AC282">
        <v>0</v>
      </c>
      <c r="AD282">
        <v>0</v>
      </c>
      <c r="AE282">
        <v>0</v>
      </c>
      <c r="AF282">
        <v>0</v>
      </c>
      <c r="AG282">
        <v>0</v>
      </c>
      <c r="AH282">
        <v>0</v>
      </c>
      <c r="AI282">
        <v>0</v>
      </c>
      <c r="AJ282">
        <v>1</v>
      </c>
      <c r="AK282">
        <v>0</v>
      </c>
      <c r="AL282">
        <v>0</v>
      </c>
      <c r="AM282">
        <v>0</v>
      </c>
      <c r="AN282">
        <v>0</v>
      </c>
      <c r="AO282">
        <v>0</v>
      </c>
      <c r="AP282">
        <v>0</v>
      </c>
    </row>
    <row r="283" spans="4:42" x14ac:dyDescent="0.45">
      <c r="D283">
        <v>2023</v>
      </c>
      <c r="E283">
        <v>7</v>
      </c>
      <c r="F283">
        <v>6642000</v>
      </c>
      <c r="G283">
        <v>586076.37</v>
      </c>
      <c r="H283">
        <v>261840.65</v>
      </c>
      <c r="I283">
        <v>215875.91</v>
      </c>
      <c r="J283">
        <v>121618.16</v>
      </c>
      <c r="K283">
        <v>29</v>
      </c>
      <c r="L283">
        <v>6</v>
      </c>
      <c r="M283">
        <v>55</v>
      </c>
      <c r="N283">
        <v>2</v>
      </c>
      <c r="O283">
        <v>11</v>
      </c>
      <c r="P283">
        <v>35066.089999999997</v>
      </c>
      <c r="Q283">
        <v>103.27</v>
      </c>
      <c r="R283">
        <v>108.4</v>
      </c>
      <c r="S283">
        <v>1</v>
      </c>
      <c r="T283">
        <v>0</v>
      </c>
      <c r="U283">
        <v>0</v>
      </c>
      <c r="V283">
        <v>0</v>
      </c>
      <c r="W283">
        <v>0</v>
      </c>
      <c r="X283">
        <v>0</v>
      </c>
      <c r="Y283">
        <v>0</v>
      </c>
      <c r="Z283">
        <v>0</v>
      </c>
      <c r="AA283">
        <v>0</v>
      </c>
      <c r="AB283">
        <v>0</v>
      </c>
      <c r="AC283">
        <v>0</v>
      </c>
      <c r="AD283">
        <v>0</v>
      </c>
      <c r="AE283">
        <v>0</v>
      </c>
      <c r="AF283">
        <v>0</v>
      </c>
      <c r="AG283">
        <v>0</v>
      </c>
      <c r="AH283">
        <v>1</v>
      </c>
      <c r="AI283">
        <v>0</v>
      </c>
      <c r="AJ283">
        <v>0</v>
      </c>
      <c r="AK283">
        <v>0</v>
      </c>
      <c r="AL283">
        <v>0</v>
      </c>
      <c r="AM283">
        <v>0</v>
      </c>
      <c r="AN283">
        <v>0</v>
      </c>
      <c r="AO283">
        <v>0</v>
      </c>
      <c r="AP283">
        <v>0</v>
      </c>
    </row>
    <row r="284" spans="4:42" x14ac:dyDescent="0.45">
      <c r="D284">
        <v>2023</v>
      </c>
      <c r="E284">
        <v>7</v>
      </c>
      <c r="F284">
        <v>26781000</v>
      </c>
      <c r="G284">
        <v>2305820.86</v>
      </c>
      <c r="H284">
        <v>1721805.32</v>
      </c>
      <c r="I284">
        <v>481939.87</v>
      </c>
      <c r="J284">
        <v>43973.37</v>
      </c>
      <c r="K284">
        <v>208</v>
      </c>
      <c r="L284">
        <v>17</v>
      </c>
      <c r="M284">
        <v>618</v>
      </c>
      <c r="N284">
        <v>8</v>
      </c>
      <c r="O284">
        <v>37</v>
      </c>
      <c r="P284">
        <v>384090.29</v>
      </c>
      <c r="Q284">
        <v>108.73</v>
      </c>
      <c r="R284">
        <v>107.98</v>
      </c>
      <c r="S284">
        <v>1</v>
      </c>
      <c r="T284">
        <v>0</v>
      </c>
      <c r="U284">
        <v>0</v>
      </c>
      <c r="V284">
        <v>0</v>
      </c>
      <c r="W284">
        <v>0</v>
      </c>
      <c r="X284">
        <v>0</v>
      </c>
      <c r="Y284">
        <v>0</v>
      </c>
      <c r="Z284">
        <v>0</v>
      </c>
      <c r="AA284">
        <v>0</v>
      </c>
      <c r="AB284">
        <v>0</v>
      </c>
      <c r="AC284">
        <v>0</v>
      </c>
      <c r="AD284">
        <v>0</v>
      </c>
      <c r="AE284">
        <v>0</v>
      </c>
      <c r="AF284">
        <v>0</v>
      </c>
      <c r="AG284">
        <v>0</v>
      </c>
      <c r="AH284">
        <v>0</v>
      </c>
      <c r="AI284">
        <v>0</v>
      </c>
      <c r="AJ284">
        <v>0</v>
      </c>
      <c r="AK284">
        <v>0</v>
      </c>
      <c r="AL284">
        <v>0</v>
      </c>
      <c r="AM284">
        <v>1</v>
      </c>
      <c r="AN284">
        <v>0</v>
      </c>
      <c r="AO284">
        <v>0</v>
      </c>
      <c r="AP284">
        <v>0</v>
      </c>
    </row>
    <row r="285" spans="4:42" x14ac:dyDescent="0.45">
      <c r="D285">
        <v>2023</v>
      </c>
      <c r="E285">
        <v>7</v>
      </c>
      <c r="F285">
        <v>20353000</v>
      </c>
      <c r="G285">
        <v>1503141.07</v>
      </c>
      <c r="H285">
        <v>784449.45</v>
      </c>
      <c r="I285">
        <v>607014.37</v>
      </c>
      <c r="J285">
        <v>70243.44</v>
      </c>
      <c r="K285">
        <v>100</v>
      </c>
      <c r="L285">
        <v>6</v>
      </c>
      <c r="M285">
        <v>371</v>
      </c>
      <c r="N285">
        <v>5</v>
      </c>
      <c r="O285">
        <v>28</v>
      </c>
      <c r="P285">
        <v>241230.14</v>
      </c>
      <c r="Q285">
        <v>105.78</v>
      </c>
      <c r="R285">
        <v>108.44</v>
      </c>
      <c r="S285">
        <v>1</v>
      </c>
      <c r="T285">
        <v>0</v>
      </c>
      <c r="U285">
        <v>0</v>
      </c>
      <c r="V285">
        <v>0</v>
      </c>
      <c r="W285">
        <v>0</v>
      </c>
      <c r="X285">
        <v>0</v>
      </c>
      <c r="Y285">
        <v>0</v>
      </c>
      <c r="Z285">
        <v>0</v>
      </c>
      <c r="AA285">
        <v>0</v>
      </c>
      <c r="AB285">
        <v>0</v>
      </c>
      <c r="AC285">
        <v>0</v>
      </c>
      <c r="AD285">
        <v>0</v>
      </c>
      <c r="AE285">
        <v>0</v>
      </c>
      <c r="AF285">
        <v>0</v>
      </c>
      <c r="AG285">
        <v>0</v>
      </c>
      <c r="AH285">
        <v>0</v>
      </c>
      <c r="AI285">
        <v>0</v>
      </c>
      <c r="AJ285">
        <v>0</v>
      </c>
      <c r="AK285">
        <v>0</v>
      </c>
      <c r="AL285">
        <v>0</v>
      </c>
      <c r="AM285">
        <v>0</v>
      </c>
      <c r="AN285">
        <v>0</v>
      </c>
      <c r="AO285">
        <v>0</v>
      </c>
      <c r="AP285">
        <v>1</v>
      </c>
    </row>
    <row r="286" spans="4:42" x14ac:dyDescent="0.45">
      <c r="D286">
        <v>2023</v>
      </c>
      <c r="E286">
        <v>7</v>
      </c>
      <c r="F286">
        <v>3749000</v>
      </c>
      <c r="G286">
        <v>310437.37</v>
      </c>
      <c r="H286">
        <v>264461.76</v>
      </c>
      <c r="I286">
        <v>41378.980000000003</v>
      </c>
      <c r="J286">
        <v>6223.8</v>
      </c>
      <c r="K286">
        <v>27</v>
      </c>
      <c r="L286">
        <v>3</v>
      </c>
      <c r="M286">
        <v>50</v>
      </c>
      <c r="N286">
        <v>2</v>
      </c>
      <c r="O286">
        <v>11</v>
      </c>
      <c r="P286">
        <v>23348.32</v>
      </c>
      <c r="Q286">
        <v>102.29</v>
      </c>
      <c r="R286">
        <v>107.88</v>
      </c>
      <c r="S286">
        <v>1</v>
      </c>
      <c r="T286">
        <v>0</v>
      </c>
      <c r="U286">
        <v>0</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0</v>
      </c>
    </row>
    <row r="287" spans="4:42" x14ac:dyDescent="0.45">
      <c r="D287">
        <v>2023</v>
      </c>
      <c r="E287">
        <v>7</v>
      </c>
      <c r="F287">
        <v>23567000</v>
      </c>
      <c r="G287">
        <v>2005245.74</v>
      </c>
      <c r="H287">
        <v>1584375.01</v>
      </c>
      <c r="I287">
        <v>374396.21</v>
      </c>
      <c r="J287">
        <v>64691.66</v>
      </c>
      <c r="K287">
        <v>179</v>
      </c>
      <c r="L287">
        <v>14</v>
      </c>
      <c r="M287">
        <v>654</v>
      </c>
      <c r="N287">
        <v>10</v>
      </c>
      <c r="O287">
        <v>32</v>
      </c>
      <c r="P287">
        <v>612617.06999999995</v>
      </c>
      <c r="Q287">
        <v>102.51</v>
      </c>
      <c r="R287">
        <v>108.37</v>
      </c>
      <c r="S287">
        <v>1</v>
      </c>
      <c r="T287">
        <v>0</v>
      </c>
      <c r="U287">
        <v>0</v>
      </c>
      <c r="V287">
        <v>0</v>
      </c>
      <c r="W287">
        <v>0</v>
      </c>
      <c r="X287">
        <v>0</v>
      </c>
      <c r="Y287">
        <v>0</v>
      </c>
      <c r="Z287">
        <v>0</v>
      </c>
      <c r="AA287">
        <v>0</v>
      </c>
      <c r="AB287">
        <v>0</v>
      </c>
      <c r="AC287">
        <v>0</v>
      </c>
      <c r="AD287">
        <v>0</v>
      </c>
      <c r="AE287">
        <v>1</v>
      </c>
      <c r="AF287">
        <v>0</v>
      </c>
      <c r="AG287">
        <v>0</v>
      </c>
      <c r="AH287">
        <v>0</v>
      </c>
      <c r="AI287">
        <v>0</v>
      </c>
      <c r="AJ287">
        <v>0</v>
      </c>
      <c r="AK287">
        <v>0</v>
      </c>
      <c r="AL287">
        <v>0</v>
      </c>
      <c r="AM287">
        <v>0</v>
      </c>
      <c r="AN287">
        <v>0</v>
      </c>
      <c r="AO287">
        <v>0</v>
      </c>
      <c r="AP287">
        <v>0</v>
      </c>
    </row>
    <row r="288" spans="4:42" x14ac:dyDescent="0.45">
      <c r="D288">
        <v>2023</v>
      </c>
      <c r="E288">
        <v>7</v>
      </c>
      <c r="F288">
        <v>4499000</v>
      </c>
      <c r="G288">
        <v>397108.56</v>
      </c>
      <c r="H288">
        <v>321065.33</v>
      </c>
      <c r="I288">
        <v>62796.51</v>
      </c>
      <c r="J288">
        <v>8746.85</v>
      </c>
      <c r="K288">
        <v>33</v>
      </c>
      <c r="L288">
        <v>1</v>
      </c>
      <c r="M288">
        <v>38</v>
      </c>
      <c r="N288">
        <v>1</v>
      </c>
      <c r="O288">
        <v>16</v>
      </c>
      <c r="P288">
        <v>19856.27</v>
      </c>
      <c r="Q288">
        <v>105.23</v>
      </c>
      <c r="R288">
        <v>108.17</v>
      </c>
      <c r="S288">
        <v>1</v>
      </c>
      <c r="T288">
        <v>0</v>
      </c>
      <c r="U288">
        <v>0</v>
      </c>
      <c r="V288">
        <v>0</v>
      </c>
      <c r="W288">
        <v>0</v>
      </c>
      <c r="X288">
        <v>0</v>
      </c>
      <c r="Y288">
        <v>0</v>
      </c>
      <c r="Z288">
        <v>0</v>
      </c>
      <c r="AA288">
        <v>0</v>
      </c>
      <c r="AB288">
        <v>0</v>
      </c>
      <c r="AC288">
        <v>0</v>
      </c>
      <c r="AD288">
        <v>0</v>
      </c>
      <c r="AE288">
        <v>0</v>
      </c>
      <c r="AF288">
        <v>0</v>
      </c>
      <c r="AG288">
        <v>0</v>
      </c>
      <c r="AH288">
        <v>0</v>
      </c>
      <c r="AI288">
        <v>0</v>
      </c>
      <c r="AJ288">
        <v>0</v>
      </c>
      <c r="AK288">
        <v>0</v>
      </c>
      <c r="AL288">
        <v>1</v>
      </c>
      <c r="AM288">
        <v>0</v>
      </c>
      <c r="AN288">
        <v>0</v>
      </c>
      <c r="AO288">
        <v>0</v>
      </c>
      <c r="AP288">
        <v>0</v>
      </c>
    </row>
    <row r="289" spans="4:42" x14ac:dyDescent="0.45">
      <c r="D289">
        <v>2023</v>
      </c>
      <c r="E289">
        <v>7</v>
      </c>
      <c r="F289">
        <v>14462000</v>
      </c>
      <c r="G289">
        <v>1260074.6399999999</v>
      </c>
      <c r="H289">
        <v>610689.79</v>
      </c>
      <c r="I289">
        <v>534470.39</v>
      </c>
      <c r="J289">
        <v>82186.759999999995</v>
      </c>
      <c r="K289">
        <v>80</v>
      </c>
      <c r="L289">
        <v>5</v>
      </c>
      <c r="M289">
        <v>94</v>
      </c>
      <c r="N289">
        <v>3</v>
      </c>
      <c r="O289">
        <v>18</v>
      </c>
      <c r="P289">
        <v>97594.01</v>
      </c>
      <c r="Q289">
        <v>104.43</v>
      </c>
      <c r="R289">
        <v>108.9</v>
      </c>
      <c r="S289">
        <v>1</v>
      </c>
      <c r="T289">
        <v>0</v>
      </c>
      <c r="U289">
        <v>0</v>
      </c>
      <c r="V289">
        <v>0</v>
      </c>
      <c r="W289">
        <v>0</v>
      </c>
      <c r="X289">
        <v>0</v>
      </c>
      <c r="Y289">
        <v>0</v>
      </c>
      <c r="Z289">
        <v>0</v>
      </c>
      <c r="AA289">
        <v>0</v>
      </c>
      <c r="AB289">
        <v>0</v>
      </c>
      <c r="AC289">
        <v>0</v>
      </c>
      <c r="AD289">
        <v>0</v>
      </c>
      <c r="AE289">
        <v>0</v>
      </c>
      <c r="AF289">
        <v>0</v>
      </c>
      <c r="AG289">
        <v>0</v>
      </c>
      <c r="AH289">
        <v>0</v>
      </c>
      <c r="AI289">
        <v>0</v>
      </c>
      <c r="AJ289">
        <v>0</v>
      </c>
      <c r="AK289">
        <v>0</v>
      </c>
      <c r="AL289">
        <v>0</v>
      </c>
      <c r="AM289">
        <v>0</v>
      </c>
      <c r="AN289">
        <v>1</v>
      </c>
      <c r="AO289">
        <v>0</v>
      </c>
      <c r="AP289">
        <v>0</v>
      </c>
    </row>
    <row r="290" spans="4:42" x14ac:dyDescent="0.45">
      <c r="D290">
        <v>2023</v>
      </c>
      <c r="E290">
        <v>7</v>
      </c>
      <c r="F290">
        <v>7820000</v>
      </c>
      <c r="G290">
        <v>611942.48</v>
      </c>
      <c r="H290">
        <v>331395.95</v>
      </c>
      <c r="I290">
        <v>236576.3</v>
      </c>
      <c r="J290">
        <v>24903.63</v>
      </c>
      <c r="K290">
        <v>44</v>
      </c>
      <c r="L290">
        <v>3</v>
      </c>
      <c r="M290">
        <v>64</v>
      </c>
      <c r="N290">
        <v>1</v>
      </c>
      <c r="O290">
        <v>13</v>
      </c>
      <c r="P290">
        <v>26514.37</v>
      </c>
      <c r="Q290">
        <v>107.48</v>
      </c>
      <c r="R290">
        <v>109.08</v>
      </c>
      <c r="S290">
        <v>1</v>
      </c>
      <c r="T290">
        <v>0</v>
      </c>
      <c r="U290">
        <v>0</v>
      </c>
      <c r="V290">
        <v>0</v>
      </c>
      <c r="W290">
        <v>0</v>
      </c>
      <c r="X290">
        <v>0</v>
      </c>
      <c r="Y290">
        <v>0</v>
      </c>
      <c r="Z290">
        <v>0</v>
      </c>
      <c r="AA290">
        <v>0</v>
      </c>
      <c r="AB290">
        <v>0</v>
      </c>
      <c r="AC290">
        <v>0</v>
      </c>
      <c r="AD290">
        <v>0</v>
      </c>
      <c r="AE290">
        <v>0</v>
      </c>
      <c r="AF290">
        <v>0</v>
      </c>
      <c r="AG290">
        <v>1</v>
      </c>
      <c r="AH290">
        <v>0</v>
      </c>
      <c r="AI290">
        <v>0</v>
      </c>
      <c r="AJ290">
        <v>0</v>
      </c>
      <c r="AK290">
        <v>0</v>
      </c>
      <c r="AL290">
        <v>0</v>
      </c>
      <c r="AM290">
        <v>0</v>
      </c>
      <c r="AN290">
        <v>0</v>
      </c>
      <c r="AO290">
        <v>0</v>
      </c>
      <c r="AP290">
        <v>0</v>
      </c>
    </row>
    <row r="291" spans="4:42" x14ac:dyDescent="0.45">
      <c r="D291">
        <v>2023</v>
      </c>
      <c r="E291">
        <v>8</v>
      </c>
      <c r="F291">
        <v>8570000</v>
      </c>
      <c r="G291">
        <v>621926.66</v>
      </c>
      <c r="H291">
        <v>440235.33</v>
      </c>
      <c r="I291">
        <v>202036.01</v>
      </c>
      <c r="J291">
        <v>33814.839999999997</v>
      </c>
      <c r="K291">
        <v>64</v>
      </c>
      <c r="L291">
        <v>5</v>
      </c>
      <c r="M291">
        <v>52</v>
      </c>
      <c r="N291">
        <v>5</v>
      </c>
      <c r="O291">
        <v>19</v>
      </c>
      <c r="P291">
        <v>97342.52</v>
      </c>
      <c r="Q291">
        <v>104.42</v>
      </c>
      <c r="R291">
        <v>108.08</v>
      </c>
      <c r="S291">
        <v>0</v>
      </c>
      <c r="T291">
        <v>0</v>
      </c>
      <c r="U291">
        <v>0</v>
      </c>
      <c r="V291">
        <v>0</v>
      </c>
      <c r="W291">
        <v>0</v>
      </c>
      <c r="X291">
        <v>0</v>
      </c>
      <c r="Y291">
        <v>0</v>
      </c>
      <c r="Z291">
        <v>0</v>
      </c>
      <c r="AA291">
        <v>1</v>
      </c>
      <c r="AB291">
        <v>0</v>
      </c>
      <c r="AC291">
        <v>0</v>
      </c>
      <c r="AD291">
        <v>0</v>
      </c>
      <c r="AE291">
        <v>0</v>
      </c>
      <c r="AF291">
        <v>0</v>
      </c>
      <c r="AG291">
        <v>0</v>
      </c>
      <c r="AH291">
        <v>0</v>
      </c>
      <c r="AI291">
        <v>0</v>
      </c>
      <c r="AJ291">
        <v>1</v>
      </c>
      <c r="AK291">
        <v>0</v>
      </c>
      <c r="AL291">
        <v>0</v>
      </c>
      <c r="AM291">
        <v>0</v>
      </c>
      <c r="AN291">
        <v>0</v>
      </c>
      <c r="AO291">
        <v>0</v>
      </c>
      <c r="AP291">
        <v>0</v>
      </c>
    </row>
    <row r="292" spans="4:42" x14ac:dyDescent="0.45">
      <c r="D292">
        <v>2023</v>
      </c>
      <c r="E292">
        <v>8</v>
      </c>
      <c r="F292">
        <v>14462000</v>
      </c>
      <c r="G292">
        <v>1166137.1299999999</v>
      </c>
      <c r="H292">
        <v>586020.46</v>
      </c>
      <c r="I292">
        <v>569615.61</v>
      </c>
      <c r="J292">
        <v>30374.86</v>
      </c>
      <c r="K292">
        <v>80</v>
      </c>
      <c r="L292">
        <v>7</v>
      </c>
      <c r="M292">
        <v>104</v>
      </c>
      <c r="N292">
        <v>3</v>
      </c>
      <c r="O292">
        <v>25</v>
      </c>
      <c r="P292">
        <v>118378.8</v>
      </c>
      <c r="Q292">
        <v>104.6</v>
      </c>
      <c r="R292">
        <v>108.34</v>
      </c>
      <c r="S292">
        <v>0</v>
      </c>
      <c r="T292">
        <v>0</v>
      </c>
      <c r="U292">
        <v>0</v>
      </c>
      <c r="V292">
        <v>0</v>
      </c>
      <c r="W292">
        <v>0</v>
      </c>
      <c r="X292">
        <v>0</v>
      </c>
      <c r="Y292">
        <v>0</v>
      </c>
      <c r="Z292">
        <v>0</v>
      </c>
      <c r="AA292">
        <v>1</v>
      </c>
      <c r="AB292">
        <v>0</v>
      </c>
      <c r="AC292">
        <v>0</v>
      </c>
      <c r="AD292">
        <v>0</v>
      </c>
      <c r="AE292">
        <v>0</v>
      </c>
      <c r="AF292">
        <v>0</v>
      </c>
      <c r="AG292">
        <v>0</v>
      </c>
      <c r="AH292">
        <v>0</v>
      </c>
      <c r="AI292">
        <v>0</v>
      </c>
      <c r="AJ292">
        <v>0</v>
      </c>
      <c r="AK292">
        <v>0</v>
      </c>
      <c r="AL292">
        <v>0</v>
      </c>
      <c r="AM292">
        <v>0</v>
      </c>
      <c r="AN292">
        <v>0</v>
      </c>
      <c r="AO292">
        <v>1</v>
      </c>
      <c r="AP292">
        <v>0</v>
      </c>
    </row>
    <row r="293" spans="4:42" x14ac:dyDescent="0.45">
      <c r="D293">
        <v>2023</v>
      </c>
      <c r="E293">
        <v>8</v>
      </c>
      <c r="F293">
        <v>3749000</v>
      </c>
      <c r="G293">
        <v>358246.65</v>
      </c>
      <c r="H293">
        <v>297333.49</v>
      </c>
      <c r="I293">
        <v>42725.65</v>
      </c>
      <c r="J293">
        <v>20195.900000000001</v>
      </c>
      <c r="K293">
        <v>29</v>
      </c>
      <c r="L293">
        <v>1</v>
      </c>
      <c r="M293">
        <v>53</v>
      </c>
      <c r="N293">
        <v>3</v>
      </c>
      <c r="O293">
        <v>15</v>
      </c>
      <c r="P293">
        <v>33736.660000000003</v>
      </c>
      <c r="Q293">
        <v>104.88</v>
      </c>
      <c r="R293">
        <v>109.07</v>
      </c>
      <c r="S293">
        <v>0</v>
      </c>
      <c r="T293">
        <v>0</v>
      </c>
      <c r="U293">
        <v>0</v>
      </c>
      <c r="V293">
        <v>0</v>
      </c>
      <c r="W293">
        <v>0</v>
      </c>
      <c r="X293">
        <v>0</v>
      </c>
      <c r="Y293">
        <v>0</v>
      </c>
      <c r="Z293">
        <v>0</v>
      </c>
      <c r="AA293">
        <v>1</v>
      </c>
      <c r="AB293">
        <v>0</v>
      </c>
      <c r="AC293">
        <v>0</v>
      </c>
      <c r="AD293">
        <v>0</v>
      </c>
      <c r="AE293">
        <v>0</v>
      </c>
      <c r="AF293">
        <v>0</v>
      </c>
      <c r="AG293">
        <v>0</v>
      </c>
      <c r="AH293">
        <v>0</v>
      </c>
      <c r="AI293">
        <v>0</v>
      </c>
      <c r="AJ293">
        <v>0</v>
      </c>
      <c r="AK293">
        <v>0</v>
      </c>
      <c r="AL293">
        <v>0</v>
      </c>
      <c r="AM293">
        <v>0</v>
      </c>
      <c r="AN293">
        <v>0</v>
      </c>
      <c r="AO293">
        <v>0</v>
      </c>
      <c r="AP293">
        <v>0</v>
      </c>
    </row>
    <row r="294" spans="4:42" x14ac:dyDescent="0.45">
      <c r="D294">
        <v>2023</v>
      </c>
      <c r="E294">
        <v>8</v>
      </c>
      <c r="F294">
        <v>6642000</v>
      </c>
      <c r="G294">
        <v>543404.42000000004</v>
      </c>
      <c r="H294">
        <v>279856.09999999998</v>
      </c>
      <c r="I294">
        <v>232386.6</v>
      </c>
      <c r="J294">
        <v>23340.09</v>
      </c>
      <c r="K294">
        <v>32</v>
      </c>
      <c r="L294">
        <v>4</v>
      </c>
      <c r="M294">
        <v>21</v>
      </c>
      <c r="N294">
        <v>0</v>
      </c>
      <c r="O294">
        <v>12</v>
      </c>
      <c r="P294">
        <v>14173.16</v>
      </c>
      <c r="Q294">
        <v>105.11</v>
      </c>
      <c r="R294">
        <v>108.95</v>
      </c>
      <c r="S294">
        <v>0</v>
      </c>
      <c r="T294">
        <v>0</v>
      </c>
      <c r="U294">
        <v>0</v>
      </c>
      <c r="V294">
        <v>0</v>
      </c>
      <c r="W294">
        <v>0</v>
      </c>
      <c r="X294">
        <v>0</v>
      </c>
      <c r="Y294">
        <v>0</v>
      </c>
      <c r="Z294">
        <v>0</v>
      </c>
      <c r="AA294">
        <v>1</v>
      </c>
      <c r="AB294">
        <v>0</v>
      </c>
      <c r="AC294">
        <v>0</v>
      </c>
      <c r="AD294">
        <v>0</v>
      </c>
      <c r="AE294">
        <v>0</v>
      </c>
      <c r="AF294">
        <v>0</v>
      </c>
      <c r="AG294">
        <v>0</v>
      </c>
      <c r="AH294">
        <v>1</v>
      </c>
      <c r="AI294">
        <v>0</v>
      </c>
      <c r="AJ294">
        <v>0</v>
      </c>
      <c r="AK294">
        <v>0</v>
      </c>
      <c r="AL294">
        <v>0</v>
      </c>
      <c r="AM294">
        <v>0</v>
      </c>
      <c r="AN294">
        <v>0</v>
      </c>
      <c r="AO294">
        <v>0</v>
      </c>
      <c r="AP294">
        <v>0</v>
      </c>
    </row>
    <row r="295" spans="4:42" x14ac:dyDescent="0.45">
      <c r="D295">
        <v>2023</v>
      </c>
      <c r="E295">
        <v>8</v>
      </c>
      <c r="F295">
        <v>20353000</v>
      </c>
      <c r="G295">
        <v>1923909.18</v>
      </c>
      <c r="H295">
        <v>761054.89</v>
      </c>
      <c r="I295">
        <v>774641.77</v>
      </c>
      <c r="J295">
        <v>489431.85</v>
      </c>
      <c r="K295">
        <v>97</v>
      </c>
      <c r="L295">
        <v>9</v>
      </c>
      <c r="M295">
        <v>432</v>
      </c>
      <c r="N295">
        <v>7</v>
      </c>
      <c r="O295">
        <v>30</v>
      </c>
      <c r="P295">
        <v>305005.39</v>
      </c>
      <c r="Q295">
        <v>101.86</v>
      </c>
      <c r="R295">
        <v>108.63</v>
      </c>
      <c r="S295">
        <v>0</v>
      </c>
      <c r="T295">
        <v>0</v>
      </c>
      <c r="U295">
        <v>0</v>
      </c>
      <c r="V295">
        <v>0</v>
      </c>
      <c r="W295">
        <v>0</v>
      </c>
      <c r="X295">
        <v>0</v>
      </c>
      <c r="Y295">
        <v>0</v>
      </c>
      <c r="Z295">
        <v>0</v>
      </c>
      <c r="AA295">
        <v>1</v>
      </c>
      <c r="AB295">
        <v>0</v>
      </c>
      <c r="AC295">
        <v>0</v>
      </c>
      <c r="AD295">
        <v>0</v>
      </c>
      <c r="AE295">
        <v>0</v>
      </c>
      <c r="AF295">
        <v>0</v>
      </c>
      <c r="AG295">
        <v>0</v>
      </c>
      <c r="AH295">
        <v>0</v>
      </c>
      <c r="AI295">
        <v>0</v>
      </c>
      <c r="AJ295">
        <v>0</v>
      </c>
      <c r="AK295">
        <v>0</v>
      </c>
      <c r="AL295">
        <v>0</v>
      </c>
      <c r="AM295">
        <v>0</v>
      </c>
      <c r="AN295">
        <v>0</v>
      </c>
      <c r="AO295">
        <v>0</v>
      </c>
      <c r="AP295">
        <v>1</v>
      </c>
    </row>
    <row r="296" spans="4:42" x14ac:dyDescent="0.45">
      <c r="D296">
        <v>2023</v>
      </c>
      <c r="E296">
        <v>8</v>
      </c>
      <c r="F296">
        <v>23567000</v>
      </c>
      <c r="G296">
        <v>2082468.15</v>
      </c>
      <c r="H296">
        <v>1604789.74</v>
      </c>
      <c r="I296">
        <v>395870.03</v>
      </c>
      <c r="J296">
        <v>67942.399999999994</v>
      </c>
      <c r="K296">
        <v>178</v>
      </c>
      <c r="L296">
        <v>15</v>
      </c>
      <c r="M296">
        <v>645</v>
      </c>
      <c r="N296">
        <v>7</v>
      </c>
      <c r="O296">
        <v>30</v>
      </c>
      <c r="P296">
        <v>446151.78</v>
      </c>
      <c r="Q296">
        <v>102.46</v>
      </c>
      <c r="R296">
        <v>108.53</v>
      </c>
      <c r="S296">
        <v>0</v>
      </c>
      <c r="T296">
        <v>0</v>
      </c>
      <c r="U296">
        <v>0</v>
      </c>
      <c r="V296">
        <v>0</v>
      </c>
      <c r="W296">
        <v>0</v>
      </c>
      <c r="X296">
        <v>0</v>
      </c>
      <c r="Y296">
        <v>0</v>
      </c>
      <c r="Z296">
        <v>0</v>
      </c>
      <c r="AA296">
        <v>1</v>
      </c>
      <c r="AB296">
        <v>0</v>
      </c>
      <c r="AC296">
        <v>0</v>
      </c>
      <c r="AD296">
        <v>0</v>
      </c>
      <c r="AE296">
        <v>0</v>
      </c>
      <c r="AF296">
        <v>1</v>
      </c>
      <c r="AG296">
        <v>0</v>
      </c>
      <c r="AH296">
        <v>0</v>
      </c>
      <c r="AI296">
        <v>0</v>
      </c>
      <c r="AJ296">
        <v>0</v>
      </c>
      <c r="AK296">
        <v>0</v>
      </c>
      <c r="AL296">
        <v>0</v>
      </c>
      <c r="AM296">
        <v>0</v>
      </c>
      <c r="AN296">
        <v>0</v>
      </c>
      <c r="AO296">
        <v>0</v>
      </c>
      <c r="AP296">
        <v>0</v>
      </c>
    </row>
    <row r="297" spans="4:42" x14ac:dyDescent="0.45">
      <c r="D297">
        <v>2023</v>
      </c>
      <c r="E297">
        <v>8</v>
      </c>
      <c r="F297">
        <v>26781000</v>
      </c>
      <c r="G297">
        <v>2443046.16</v>
      </c>
      <c r="H297">
        <v>1806724.38</v>
      </c>
      <c r="I297">
        <v>523828.69</v>
      </c>
      <c r="J297">
        <v>26943.200000000001</v>
      </c>
      <c r="K297">
        <v>218</v>
      </c>
      <c r="L297">
        <v>13</v>
      </c>
      <c r="M297">
        <v>793</v>
      </c>
      <c r="N297">
        <v>10</v>
      </c>
      <c r="O297">
        <v>37</v>
      </c>
      <c r="P297">
        <v>451336.88</v>
      </c>
      <c r="Q297">
        <v>104.22</v>
      </c>
      <c r="R297">
        <v>108.88</v>
      </c>
      <c r="S297">
        <v>0</v>
      </c>
      <c r="T297">
        <v>0</v>
      </c>
      <c r="U297">
        <v>0</v>
      </c>
      <c r="V297">
        <v>0</v>
      </c>
      <c r="W297">
        <v>0</v>
      </c>
      <c r="X297">
        <v>0</v>
      </c>
      <c r="Y297">
        <v>0</v>
      </c>
      <c r="Z297">
        <v>0</v>
      </c>
      <c r="AA297">
        <v>1</v>
      </c>
      <c r="AB297">
        <v>0</v>
      </c>
      <c r="AC297">
        <v>0</v>
      </c>
      <c r="AD297">
        <v>0</v>
      </c>
      <c r="AE297">
        <v>0</v>
      </c>
      <c r="AF297">
        <v>0</v>
      </c>
      <c r="AG297">
        <v>0</v>
      </c>
      <c r="AH297">
        <v>0</v>
      </c>
      <c r="AI297">
        <v>0</v>
      </c>
      <c r="AJ297">
        <v>0</v>
      </c>
      <c r="AK297">
        <v>0</v>
      </c>
      <c r="AL297">
        <v>0</v>
      </c>
      <c r="AM297">
        <v>1</v>
      </c>
      <c r="AN297">
        <v>0</v>
      </c>
      <c r="AO297">
        <v>0</v>
      </c>
      <c r="AP297">
        <v>0</v>
      </c>
    </row>
    <row r="298" spans="4:42" x14ac:dyDescent="0.45">
      <c r="D298">
        <v>2023</v>
      </c>
      <c r="E298">
        <v>8</v>
      </c>
      <c r="F298">
        <v>4499000</v>
      </c>
      <c r="G298">
        <v>357256.32</v>
      </c>
      <c r="H298">
        <v>293053.25</v>
      </c>
      <c r="I298">
        <v>62025.37</v>
      </c>
      <c r="J298">
        <v>3213.94</v>
      </c>
      <c r="K298">
        <v>32</v>
      </c>
      <c r="L298">
        <v>4</v>
      </c>
      <c r="M298">
        <v>35</v>
      </c>
      <c r="N298">
        <v>2</v>
      </c>
      <c r="O298">
        <v>11</v>
      </c>
      <c r="P298">
        <v>18395.18</v>
      </c>
      <c r="Q298">
        <v>106.31</v>
      </c>
      <c r="R298">
        <v>108.93</v>
      </c>
      <c r="S298">
        <v>0</v>
      </c>
      <c r="T298">
        <v>0</v>
      </c>
      <c r="U298">
        <v>0</v>
      </c>
      <c r="V298">
        <v>0</v>
      </c>
      <c r="W298">
        <v>0</v>
      </c>
      <c r="X298">
        <v>0</v>
      </c>
      <c r="Y298">
        <v>0</v>
      </c>
      <c r="Z298">
        <v>0</v>
      </c>
      <c r="AA298">
        <v>1</v>
      </c>
      <c r="AB298">
        <v>0</v>
      </c>
      <c r="AC298">
        <v>0</v>
      </c>
      <c r="AD298">
        <v>0</v>
      </c>
      <c r="AE298">
        <v>0</v>
      </c>
      <c r="AF298">
        <v>0</v>
      </c>
      <c r="AG298">
        <v>0</v>
      </c>
      <c r="AH298">
        <v>0</v>
      </c>
      <c r="AI298">
        <v>0</v>
      </c>
      <c r="AJ298">
        <v>0</v>
      </c>
      <c r="AK298">
        <v>0</v>
      </c>
      <c r="AL298">
        <v>1</v>
      </c>
      <c r="AM298">
        <v>0</v>
      </c>
      <c r="AN298">
        <v>0</v>
      </c>
      <c r="AO298">
        <v>0</v>
      </c>
      <c r="AP298">
        <v>0</v>
      </c>
    </row>
    <row r="299" spans="4:42" x14ac:dyDescent="0.45">
      <c r="D299">
        <v>2023</v>
      </c>
      <c r="E299">
        <v>8</v>
      </c>
      <c r="F299">
        <v>5142000</v>
      </c>
      <c r="G299">
        <v>426790.9</v>
      </c>
      <c r="H299">
        <v>366625.21</v>
      </c>
      <c r="I299">
        <v>60345.58</v>
      </c>
      <c r="J299">
        <v>8796.26</v>
      </c>
      <c r="K299">
        <v>37</v>
      </c>
      <c r="L299">
        <v>0</v>
      </c>
      <c r="M299">
        <v>55</v>
      </c>
      <c r="N299">
        <v>0</v>
      </c>
      <c r="O299">
        <v>10</v>
      </c>
      <c r="P299">
        <v>9283.93</v>
      </c>
      <c r="Q299">
        <v>103.01</v>
      </c>
      <c r="R299">
        <v>108.77</v>
      </c>
      <c r="S299">
        <v>0</v>
      </c>
      <c r="T299">
        <v>0</v>
      </c>
      <c r="U299">
        <v>0</v>
      </c>
      <c r="V299">
        <v>0</v>
      </c>
      <c r="W299">
        <v>0</v>
      </c>
      <c r="X299">
        <v>0</v>
      </c>
      <c r="Y299">
        <v>0</v>
      </c>
      <c r="Z299">
        <v>0</v>
      </c>
      <c r="AA299">
        <v>1</v>
      </c>
      <c r="AB299">
        <v>0</v>
      </c>
      <c r="AC299">
        <v>0</v>
      </c>
      <c r="AD299">
        <v>1</v>
      </c>
      <c r="AE299">
        <v>0</v>
      </c>
      <c r="AF299">
        <v>0</v>
      </c>
      <c r="AG299">
        <v>0</v>
      </c>
      <c r="AH299">
        <v>0</v>
      </c>
      <c r="AI299">
        <v>0</v>
      </c>
      <c r="AJ299">
        <v>0</v>
      </c>
      <c r="AK299">
        <v>0</v>
      </c>
      <c r="AL299">
        <v>0</v>
      </c>
      <c r="AM299">
        <v>0</v>
      </c>
      <c r="AN299">
        <v>0</v>
      </c>
      <c r="AO299">
        <v>0</v>
      </c>
      <c r="AP299">
        <v>0</v>
      </c>
    </row>
    <row r="300" spans="4:42" x14ac:dyDescent="0.45">
      <c r="D300">
        <v>2023</v>
      </c>
      <c r="E300">
        <v>8</v>
      </c>
      <c r="F300">
        <v>7820000</v>
      </c>
      <c r="G300">
        <v>648169.86</v>
      </c>
      <c r="H300">
        <v>326237.15000000002</v>
      </c>
      <c r="I300">
        <v>282274.93</v>
      </c>
      <c r="J300">
        <v>23563.58</v>
      </c>
      <c r="K300">
        <v>44</v>
      </c>
      <c r="L300">
        <v>1</v>
      </c>
      <c r="M300">
        <v>49</v>
      </c>
      <c r="N300">
        <v>1</v>
      </c>
      <c r="O300">
        <v>14</v>
      </c>
      <c r="P300">
        <v>31685.3</v>
      </c>
      <c r="Q300">
        <v>105.27</v>
      </c>
      <c r="R300">
        <v>108.06</v>
      </c>
      <c r="S300">
        <v>0</v>
      </c>
      <c r="T300">
        <v>0</v>
      </c>
      <c r="U300">
        <v>0</v>
      </c>
      <c r="V300">
        <v>0</v>
      </c>
      <c r="W300">
        <v>0</v>
      </c>
      <c r="X300">
        <v>0</v>
      </c>
      <c r="Y300">
        <v>0</v>
      </c>
      <c r="Z300">
        <v>0</v>
      </c>
      <c r="AA300">
        <v>1</v>
      </c>
      <c r="AB300">
        <v>0</v>
      </c>
      <c r="AC300">
        <v>0</v>
      </c>
      <c r="AD300">
        <v>0</v>
      </c>
      <c r="AE300">
        <v>0</v>
      </c>
      <c r="AF300">
        <v>0</v>
      </c>
      <c r="AG300">
        <v>1</v>
      </c>
      <c r="AH300">
        <v>0</v>
      </c>
      <c r="AI300">
        <v>0</v>
      </c>
      <c r="AJ300">
        <v>0</v>
      </c>
      <c r="AK300">
        <v>0</v>
      </c>
      <c r="AL300">
        <v>0</v>
      </c>
      <c r="AM300">
        <v>0</v>
      </c>
      <c r="AN300">
        <v>0</v>
      </c>
      <c r="AO300">
        <v>0</v>
      </c>
      <c r="AP300">
        <v>0</v>
      </c>
    </row>
    <row r="301" spans="4:42" x14ac:dyDescent="0.45">
      <c r="D301">
        <v>2023</v>
      </c>
      <c r="E301">
        <v>9</v>
      </c>
      <c r="F301">
        <v>6642000</v>
      </c>
      <c r="G301">
        <v>537032.66</v>
      </c>
      <c r="H301">
        <v>272710.49</v>
      </c>
      <c r="I301">
        <v>247933.63</v>
      </c>
      <c r="J301">
        <v>11745.27</v>
      </c>
      <c r="K301">
        <v>31</v>
      </c>
      <c r="L301">
        <v>3</v>
      </c>
      <c r="M301">
        <v>0</v>
      </c>
      <c r="N301">
        <v>6</v>
      </c>
      <c r="O301">
        <v>20</v>
      </c>
      <c r="P301">
        <v>82538.52</v>
      </c>
      <c r="Q301">
        <v>104.68</v>
      </c>
      <c r="R301">
        <v>109.67</v>
      </c>
      <c r="S301">
        <v>0</v>
      </c>
      <c r="T301">
        <v>0</v>
      </c>
      <c r="U301">
        <v>0</v>
      </c>
      <c r="V301">
        <v>0</v>
      </c>
      <c r="W301">
        <v>0</v>
      </c>
      <c r="X301">
        <v>0</v>
      </c>
      <c r="Y301">
        <v>1</v>
      </c>
      <c r="Z301">
        <v>0</v>
      </c>
      <c r="AA301">
        <v>0</v>
      </c>
      <c r="AB301">
        <v>0</v>
      </c>
      <c r="AC301">
        <v>0</v>
      </c>
      <c r="AD301">
        <v>0</v>
      </c>
      <c r="AE301">
        <v>0</v>
      </c>
      <c r="AF301">
        <v>0</v>
      </c>
      <c r="AG301">
        <v>0</v>
      </c>
      <c r="AH301">
        <v>1</v>
      </c>
      <c r="AI301">
        <v>0</v>
      </c>
      <c r="AJ301">
        <v>0</v>
      </c>
      <c r="AK301">
        <v>0</v>
      </c>
      <c r="AL301">
        <v>0</v>
      </c>
      <c r="AM301">
        <v>0</v>
      </c>
      <c r="AN301">
        <v>0</v>
      </c>
      <c r="AO301">
        <v>0</v>
      </c>
      <c r="AP301">
        <v>0</v>
      </c>
    </row>
    <row r="302" spans="4:42" x14ac:dyDescent="0.45">
      <c r="D302">
        <v>2023</v>
      </c>
      <c r="E302">
        <v>9</v>
      </c>
      <c r="F302">
        <v>8570000</v>
      </c>
      <c r="G302">
        <v>719141</v>
      </c>
      <c r="H302">
        <v>470651.5</v>
      </c>
      <c r="I302">
        <v>216706.53</v>
      </c>
      <c r="J302">
        <v>30387.99</v>
      </c>
      <c r="K302">
        <v>68</v>
      </c>
      <c r="L302">
        <v>3</v>
      </c>
      <c r="M302">
        <v>63</v>
      </c>
      <c r="N302">
        <v>4</v>
      </c>
      <c r="O302">
        <v>12</v>
      </c>
      <c r="P302">
        <v>71984.600000000006</v>
      </c>
      <c r="Q302">
        <v>106.14</v>
      </c>
      <c r="R302">
        <v>109.52</v>
      </c>
      <c r="S302">
        <v>0</v>
      </c>
      <c r="T302">
        <v>0</v>
      </c>
      <c r="U302">
        <v>0</v>
      </c>
      <c r="V302">
        <v>0</v>
      </c>
      <c r="W302">
        <v>0</v>
      </c>
      <c r="X302">
        <v>0</v>
      </c>
      <c r="Y302">
        <v>1</v>
      </c>
      <c r="Z302">
        <v>0</v>
      </c>
      <c r="AA302">
        <v>0</v>
      </c>
      <c r="AB302">
        <v>0</v>
      </c>
      <c r="AC302">
        <v>0</v>
      </c>
      <c r="AD302">
        <v>0</v>
      </c>
      <c r="AE302">
        <v>0</v>
      </c>
      <c r="AF302">
        <v>0</v>
      </c>
      <c r="AG302">
        <v>0</v>
      </c>
      <c r="AH302">
        <v>0</v>
      </c>
      <c r="AI302">
        <v>0</v>
      </c>
      <c r="AJ302">
        <v>1</v>
      </c>
      <c r="AK302">
        <v>0</v>
      </c>
      <c r="AL302">
        <v>0</v>
      </c>
      <c r="AM302">
        <v>0</v>
      </c>
      <c r="AN302">
        <v>0</v>
      </c>
      <c r="AO302">
        <v>0</v>
      </c>
      <c r="AP302">
        <v>0</v>
      </c>
    </row>
    <row r="303" spans="4:42" x14ac:dyDescent="0.45">
      <c r="D303">
        <v>2023</v>
      </c>
      <c r="E303">
        <v>9</v>
      </c>
      <c r="F303">
        <v>3749000</v>
      </c>
      <c r="G303">
        <v>338997.75</v>
      </c>
      <c r="H303">
        <v>286049.49</v>
      </c>
      <c r="I303">
        <v>42099.24</v>
      </c>
      <c r="J303">
        <v>6253.18</v>
      </c>
      <c r="K303">
        <v>29</v>
      </c>
      <c r="L303">
        <v>2</v>
      </c>
      <c r="M303">
        <v>30</v>
      </c>
      <c r="N303">
        <v>2</v>
      </c>
      <c r="O303">
        <v>3</v>
      </c>
      <c r="P303">
        <v>14154.46</v>
      </c>
      <c r="Q303">
        <v>101.32</v>
      </c>
      <c r="R303">
        <v>108.73</v>
      </c>
      <c r="S303">
        <v>0</v>
      </c>
      <c r="T303">
        <v>0</v>
      </c>
      <c r="U303">
        <v>0</v>
      </c>
      <c r="V303">
        <v>0</v>
      </c>
      <c r="W303">
        <v>0</v>
      </c>
      <c r="X303">
        <v>0</v>
      </c>
      <c r="Y303">
        <v>1</v>
      </c>
      <c r="Z303">
        <v>0</v>
      </c>
      <c r="AA303">
        <v>0</v>
      </c>
      <c r="AB303">
        <v>0</v>
      </c>
      <c r="AC303">
        <v>0</v>
      </c>
      <c r="AD303">
        <v>0</v>
      </c>
      <c r="AE303">
        <v>0</v>
      </c>
      <c r="AF303">
        <v>0</v>
      </c>
      <c r="AG303">
        <v>0</v>
      </c>
      <c r="AH303">
        <v>0</v>
      </c>
      <c r="AI303">
        <v>0</v>
      </c>
      <c r="AJ303">
        <v>0</v>
      </c>
      <c r="AK303">
        <v>0</v>
      </c>
      <c r="AL303">
        <v>0</v>
      </c>
      <c r="AM303">
        <v>0</v>
      </c>
      <c r="AN303">
        <v>0</v>
      </c>
      <c r="AO303">
        <v>0</v>
      </c>
      <c r="AP303">
        <v>0</v>
      </c>
    </row>
    <row r="304" spans="4:42" x14ac:dyDescent="0.45">
      <c r="D304">
        <v>2023</v>
      </c>
      <c r="E304">
        <v>9</v>
      </c>
      <c r="F304">
        <v>20353000</v>
      </c>
      <c r="G304">
        <v>1625263.91</v>
      </c>
      <c r="H304">
        <v>767926.57</v>
      </c>
      <c r="I304">
        <v>833298.49</v>
      </c>
      <c r="J304">
        <v>72958.25</v>
      </c>
      <c r="K304">
        <v>96</v>
      </c>
      <c r="L304">
        <v>10</v>
      </c>
      <c r="M304">
        <v>344</v>
      </c>
      <c r="N304">
        <v>8</v>
      </c>
      <c r="O304">
        <v>36</v>
      </c>
      <c r="P304">
        <v>523393.94</v>
      </c>
      <c r="Q304">
        <v>103.58</v>
      </c>
      <c r="R304">
        <v>109.75</v>
      </c>
      <c r="S304">
        <v>0</v>
      </c>
      <c r="T304">
        <v>0</v>
      </c>
      <c r="U304">
        <v>0</v>
      </c>
      <c r="V304">
        <v>0</v>
      </c>
      <c r="W304">
        <v>0</v>
      </c>
      <c r="X304">
        <v>0</v>
      </c>
      <c r="Y304">
        <v>1</v>
      </c>
      <c r="Z304">
        <v>0</v>
      </c>
      <c r="AA304">
        <v>0</v>
      </c>
      <c r="AB304">
        <v>0</v>
      </c>
      <c r="AC304">
        <v>0</v>
      </c>
      <c r="AD304">
        <v>0</v>
      </c>
      <c r="AE304">
        <v>0</v>
      </c>
      <c r="AF304">
        <v>0</v>
      </c>
      <c r="AG304">
        <v>0</v>
      </c>
      <c r="AH304">
        <v>0</v>
      </c>
      <c r="AI304">
        <v>0</v>
      </c>
      <c r="AJ304">
        <v>0</v>
      </c>
      <c r="AK304">
        <v>0</v>
      </c>
      <c r="AL304">
        <v>0</v>
      </c>
      <c r="AM304">
        <v>0</v>
      </c>
      <c r="AN304">
        <v>0</v>
      </c>
      <c r="AO304">
        <v>0</v>
      </c>
      <c r="AP304">
        <v>1</v>
      </c>
    </row>
    <row r="305" spans="4:42" x14ac:dyDescent="0.45">
      <c r="D305">
        <v>2023</v>
      </c>
      <c r="E305">
        <v>9</v>
      </c>
      <c r="F305">
        <v>23567000</v>
      </c>
      <c r="G305">
        <v>2153388.98</v>
      </c>
      <c r="H305">
        <v>1634408.54</v>
      </c>
      <c r="I305">
        <v>370224.73</v>
      </c>
      <c r="J305">
        <v>44720.74</v>
      </c>
      <c r="K305">
        <v>183</v>
      </c>
      <c r="L305">
        <v>15</v>
      </c>
      <c r="M305">
        <v>835</v>
      </c>
      <c r="N305">
        <v>9</v>
      </c>
      <c r="O305">
        <v>35</v>
      </c>
      <c r="P305">
        <v>174335</v>
      </c>
      <c r="Q305">
        <v>103.52</v>
      </c>
      <c r="R305">
        <v>108.01</v>
      </c>
      <c r="S305">
        <v>0</v>
      </c>
      <c r="T305">
        <v>0</v>
      </c>
      <c r="U305">
        <v>0</v>
      </c>
      <c r="V305">
        <v>0</v>
      </c>
      <c r="W305">
        <v>0</v>
      </c>
      <c r="X305">
        <v>0</v>
      </c>
      <c r="Y305">
        <v>1</v>
      </c>
      <c r="Z305">
        <v>0</v>
      </c>
      <c r="AA305">
        <v>0</v>
      </c>
      <c r="AB305">
        <v>0</v>
      </c>
      <c r="AC305">
        <v>0</v>
      </c>
      <c r="AD305">
        <v>0</v>
      </c>
      <c r="AE305">
        <v>0</v>
      </c>
      <c r="AF305">
        <v>1</v>
      </c>
      <c r="AG305">
        <v>0</v>
      </c>
      <c r="AH305">
        <v>0</v>
      </c>
      <c r="AI305">
        <v>0</v>
      </c>
      <c r="AJ305">
        <v>0</v>
      </c>
      <c r="AK305">
        <v>0</v>
      </c>
      <c r="AL305">
        <v>0</v>
      </c>
      <c r="AM305">
        <v>0</v>
      </c>
      <c r="AN305">
        <v>0</v>
      </c>
      <c r="AO305">
        <v>0</v>
      </c>
      <c r="AP305">
        <v>0</v>
      </c>
    </row>
    <row r="306" spans="4:42" x14ac:dyDescent="0.45">
      <c r="D306">
        <v>2023</v>
      </c>
      <c r="E306">
        <v>9</v>
      </c>
      <c r="F306">
        <v>4499000</v>
      </c>
      <c r="G306">
        <v>381899.89</v>
      </c>
      <c r="H306">
        <v>311671.44</v>
      </c>
      <c r="I306">
        <v>59432.25</v>
      </c>
      <c r="J306">
        <v>11136.41</v>
      </c>
      <c r="K306">
        <v>33</v>
      </c>
      <c r="L306">
        <v>5</v>
      </c>
      <c r="M306">
        <v>46</v>
      </c>
      <c r="N306">
        <v>0</v>
      </c>
      <c r="O306">
        <v>7</v>
      </c>
      <c r="P306">
        <v>5459.57</v>
      </c>
      <c r="Q306">
        <v>99.23</v>
      </c>
      <c r="R306">
        <v>108.74</v>
      </c>
      <c r="S306">
        <v>0</v>
      </c>
      <c r="T306">
        <v>0</v>
      </c>
      <c r="U306">
        <v>0</v>
      </c>
      <c r="V306">
        <v>0</v>
      </c>
      <c r="W306">
        <v>0</v>
      </c>
      <c r="X306">
        <v>0</v>
      </c>
      <c r="Y306">
        <v>1</v>
      </c>
      <c r="Z306">
        <v>0</v>
      </c>
      <c r="AA306">
        <v>0</v>
      </c>
      <c r="AB306">
        <v>0</v>
      </c>
      <c r="AC306">
        <v>0</v>
      </c>
      <c r="AD306">
        <v>0</v>
      </c>
      <c r="AE306">
        <v>0</v>
      </c>
      <c r="AF306">
        <v>0</v>
      </c>
      <c r="AG306">
        <v>0</v>
      </c>
      <c r="AH306">
        <v>0</v>
      </c>
      <c r="AI306">
        <v>0</v>
      </c>
      <c r="AJ306">
        <v>0</v>
      </c>
      <c r="AK306">
        <v>0</v>
      </c>
      <c r="AL306">
        <v>1</v>
      </c>
      <c r="AM306">
        <v>0</v>
      </c>
      <c r="AN306">
        <v>0</v>
      </c>
      <c r="AO306">
        <v>0</v>
      </c>
      <c r="AP306">
        <v>0</v>
      </c>
    </row>
    <row r="307" spans="4:42" x14ac:dyDescent="0.45">
      <c r="D307">
        <v>2023</v>
      </c>
      <c r="E307">
        <v>9</v>
      </c>
      <c r="F307">
        <v>14462000</v>
      </c>
      <c r="G307">
        <v>1177673.02</v>
      </c>
      <c r="H307">
        <v>561163.47</v>
      </c>
      <c r="I307">
        <v>526131.02</v>
      </c>
      <c r="J307">
        <v>62934.29</v>
      </c>
      <c r="K307">
        <v>80</v>
      </c>
      <c r="L307">
        <v>9</v>
      </c>
      <c r="M307">
        <v>91</v>
      </c>
      <c r="N307">
        <v>4</v>
      </c>
      <c r="O307">
        <v>19</v>
      </c>
      <c r="P307">
        <v>131794.65</v>
      </c>
      <c r="Q307">
        <v>104.96</v>
      </c>
      <c r="R307">
        <v>108.56</v>
      </c>
      <c r="S307">
        <v>0</v>
      </c>
      <c r="T307">
        <v>0</v>
      </c>
      <c r="U307">
        <v>0</v>
      </c>
      <c r="V307">
        <v>0</v>
      </c>
      <c r="W307">
        <v>0</v>
      </c>
      <c r="X307">
        <v>0</v>
      </c>
      <c r="Y307">
        <v>1</v>
      </c>
      <c r="Z307">
        <v>0</v>
      </c>
      <c r="AA307">
        <v>0</v>
      </c>
      <c r="AB307">
        <v>0</v>
      </c>
      <c r="AC307">
        <v>0</v>
      </c>
      <c r="AD307">
        <v>0</v>
      </c>
      <c r="AE307">
        <v>0</v>
      </c>
      <c r="AF307">
        <v>0</v>
      </c>
      <c r="AG307">
        <v>0</v>
      </c>
      <c r="AH307">
        <v>0</v>
      </c>
      <c r="AI307">
        <v>0</v>
      </c>
      <c r="AJ307">
        <v>0</v>
      </c>
      <c r="AK307">
        <v>0</v>
      </c>
      <c r="AL307">
        <v>0</v>
      </c>
      <c r="AM307">
        <v>0</v>
      </c>
      <c r="AN307">
        <v>1</v>
      </c>
      <c r="AO307">
        <v>0</v>
      </c>
      <c r="AP307">
        <v>0</v>
      </c>
    </row>
    <row r="308" spans="4:42" x14ac:dyDescent="0.45">
      <c r="D308">
        <v>2023</v>
      </c>
      <c r="E308">
        <v>9</v>
      </c>
      <c r="F308">
        <v>7820000</v>
      </c>
      <c r="G308">
        <v>642399.49</v>
      </c>
      <c r="H308">
        <v>327593.32</v>
      </c>
      <c r="I308">
        <v>280714.58</v>
      </c>
      <c r="J308">
        <v>44834.080000000002</v>
      </c>
      <c r="K308">
        <v>41</v>
      </c>
      <c r="L308">
        <v>0</v>
      </c>
      <c r="M308">
        <v>86</v>
      </c>
      <c r="N308">
        <v>3</v>
      </c>
      <c r="O308">
        <v>17</v>
      </c>
      <c r="P308">
        <v>48961.02</v>
      </c>
      <c r="Q308">
        <v>105.13</v>
      </c>
      <c r="R308">
        <v>109.01</v>
      </c>
      <c r="S308">
        <v>0</v>
      </c>
      <c r="T308">
        <v>0</v>
      </c>
      <c r="U308">
        <v>0</v>
      </c>
      <c r="V308">
        <v>0</v>
      </c>
      <c r="W308">
        <v>0</v>
      </c>
      <c r="X308">
        <v>0</v>
      </c>
      <c r="Y308">
        <v>1</v>
      </c>
      <c r="Z308">
        <v>0</v>
      </c>
      <c r="AA308">
        <v>0</v>
      </c>
      <c r="AB308">
        <v>0</v>
      </c>
      <c r="AC308">
        <v>0</v>
      </c>
      <c r="AD308">
        <v>0</v>
      </c>
      <c r="AE308">
        <v>0</v>
      </c>
      <c r="AF308">
        <v>0</v>
      </c>
      <c r="AG308">
        <v>1</v>
      </c>
      <c r="AH308">
        <v>0</v>
      </c>
      <c r="AI308">
        <v>0</v>
      </c>
      <c r="AJ308">
        <v>0</v>
      </c>
      <c r="AK308">
        <v>0</v>
      </c>
      <c r="AL308">
        <v>0</v>
      </c>
      <c r="AM308">
        <v>0</v>
      </c>
      <c r="AN308">
        <v>0</v>
      </c>
      <c r="AO308">
        <v>0</v>
      </c>
      <c r="AP308">
        <v>0</v>
      </c>
    </row>
    <row r="309" spans="4:42" x14ac:dyDescent="0.45">
      <c r="D309">
        <v>2023</v>
      </c>
      <c r="E309">
        <v>9</v>
      </c>
      <c r="F309">
        <v>5142000</v>
      </c>
      <c r="G309">
        <v>424411.39</v>
      </c>
      <c r="H309">
        <v>352026.47</v>
      </c>
      <c r="I309">
        <v>66941.88</v>
      </c>
      <c r="J309">
        <v>10973.74</v>
      </c>
      <c r="K309">
        <v>35</v>
      </c>
      <c r="L309">
        <v>4</v>
      </c>
      <c r="M309">
        <v>45</v>
      </c>
      <c r="N309">
        <v>1</v>
      </c>
      <c r="O309">
        <v>12</v>
      </c>
      <c r="P309">
        <v>24260.74</v>
      </c>
      <c r="Q309">
        <v>101.27</v>
      </c>
      <c r="R309">
        <v>109.08</v>
      </c>
      <c r="S309">
        <v>0</v>
      </c>
      <c r="T309">
        <v>0</v>
      </c>
      <c r="U309">
        <v>0</v>
      </c>
      <c r="V309">
        <v>0</v>
      </c>
      <c r="W309">
        <v>0</v>
      </c>
      <c r="X309">
        <v>0</v>
      </c>
      <c r="Y309">
        <v>1</v>
      </c>
      <c r="Z309">
        <v>0</v>
      </c>
      <c r="AA309">
        <v>0</v>
      </c>
      <c r="AB309">
        <v>0</v>
      </c>
      <c r="AC309">
        <v>0</v>
      </c>
      <c r="AD309">
        <v>1</v>
      </c>
      <c r="AE309">
        <v>0</v>
      </c>
      <c r="AF309">
        <v>0</v>
      </c>
      <c r="AG309">
        <v>0</v>
      </c>
      <c r="AH309">
        <v>0</v>
      </c>
      <c r="AI309">
        <v>0</v>
      </c>
      <c r="AJ309">
        <v>0</v>
      </c>
      <c r="AK309">
        <v>0</v>
      </c>
      <c r="AL309">
        <v>0</v>
      </c>
      <c r="AM309">
        <v>0</v>
      </c>
      <c r="AN309">
        <v>0</v>
      </c>
      <c r="AO309">
        <v>0</v>
      </c>
      <c r="AP309">
        <v>0</v>
      </c>
    </row>
    <row r="310" spans="4:42" x14ac:dyDescent="0.45">
      <c r="D310">
        <v>2023</v>
      </c>
      <c r="E310">
        <v>9</v>
      </c>
      <c r="F310">
        <v>26781000</v>
      </c>
      <c r="G310">
        <v>2609503.7599999998</v>
      </c>
      <c r="H310">
        <v>1797268.35</v>
      </c>
      <c r="I310">
        <v>450297.11</v>
      </c>
      <c r="J310">
        <v>225378.62</v>
      </c>
      <c r="K310">
        <v>202</v>
      </c>
      <c r="L310">
        <v>15</v>
      </c>
      <c r="M310">
        <v>911</v>
      </c>
      <c r="N310">
        <v>9</v>
      </c>
      <c r="O310">
        <v>32</v>
      </c>
      <c r="P310">
        <v>674429.93</v>
      </c>
      <c r="Q310">
        <v>102.24</v>
      </c>
      <c r="R310">
        <v>109.39</v>
      </c>
      <c r="S310">
        <v>0</v>
      </c>
      <c r="T310">
        <v>0</v>
      </c>
      <c r="U310">
        <v>0</v>
      </c>
      <c r="V310">
        <v>0</v>
      </c>
      <c r="W310">
        <v>0</v>
      </c>
      <c r="X310">
        <v>0</v>
      </c>
      <c r="Y310">
        <v>1</v>
      </c>
      <c r="Z310">
        <v>0</v>
      </c>
      <c r="AA310">
        <v>0</v>
      </c>
      <c r="AB310">
        <v>0</v>
      </c>
      <c r="AC310">
        <v>0</v>
      </c>
      <c r="AD310">
        <v>0</v>
      </c>
      <c r="AE310">
        <v>0</v>
      </c>
      <c r="AF310">
        <v>0</v>
      </c>
      <c r="AG310">
        <v>0</v>
      </c>
      <c r="AH310">
        <v>0</v>
      </c>
      <c r="AI310">
        <v>0</v>
      </c>
      <c r="AJ310">
        <v>0</v>
      </c>
      <c r="AK310">
        <v>0</v>
      </c>
      <c r="AL310">
        <v>0</v>
      </c>
      <c r="AM310">
        <v>1</v>
      </c>
      <c r="AN310">
        <v>0</v>
      </c>
      <c r="AO310">
        <v>0</v>
      </c>
      <c r="AP310">
        <v>0</v>
      </c>
    </row>
    <row r="311" spans="4:42" x14ac:dyDescent="0.45">
      <c r="D311">
        <v>2023</v>
      </c>
      <c r="E311">
        <v>10</v>
      </c>
      <c r="F311">
        <v>3749000</v>
      </c>
      <c r="G311">
        <v>319357.44</v>
      </c>
      <c r="H311">
        <v>276616.28000000003</v>
      </c>
      <c r="I311">
        <v>41285.800000000003</v>
      </c>
      <c r="J311">
        <v>6917.21</v>
      </c>
      <c r="K311">
        <v>28</v>
      </c>
      <c r="L311">
        <v>4</v>
      </c>
      <c r="M311">
        <v>31</v>
      </c>
      <c r="N311">
        <v>1</v>
      </c>
      <c r="O311">
        <v>18</v>
      </c>
      <c r="P311">
        <v>20738.150000000001</v>
      </c>
      <c r="Q311">
        <v>104.55</v>
      </c>
      <c r="R311">
        <v>109.24</v>
      </c>
      <c r="S311">
        <v>0</v>
      </c>
      <c r="T311">
        <v>0</v>
      </c>
      <c r="U311">
        <v>0</v>
      </c>
      <c r="V311">
        <v>0</v>
      </c>
      <c r="W311">
        <v>0</v>
      </c>
      <c r="X311">
        <v>1</v>
      </c>
      <c r="Y311">
        <v>0</v>
      </c>
      <c r="Z311">
        <v>0</v>
      </c>
      <c r="AA311">
        <v>0</v>
      </c>
      <c r="AB311">
        <v>0</v>
      </c>
      <c r="AC311">
        <v>0</v>
      </c>
      <c r="AD311">
        <v>0</v>
      </c>
      <c r="AE311">
        <v>0</v>
      </c>
      <c r="AF311">
        <v>0</v>
      </c>
      <c r="AG311">
        <v>0</v>
      </c>
      <c r="AH311">
        <v>0</v>
      </c>
      <c r="AI311">
        <v>0</v>
      </c>
      <c r="AJ311">
        <v>0</v>
      </c>
      <c r="AK311">
        <v>0</v>
      </c>
      <c r="AL311">
        <v>0</v>
      </c>
      <c r="AM311">
        <v>0</v>
      </c>
      <c r="AN311">
        <v>0</v>
      </c>
      <c r="AO311">
        <v>0</v>
      </c>
      <c r="AP311">
        <v>0</v>
      </c>
    </row>
    <row r="312" spans="4:42" x14ac:dyDescent="0.45">
      <c r="D312">
        <v>2023</v>
      </c>
      <c r="E312">
        <v>10</v>
      </c>
      <c r="F312">
        <v>5142000</v>
      </c>
      <c r="G312">
        <v>420775.65</v>
      </c>
      <c r="H312">
        <v>352023.56</v>
      </c>
      <c r="I312">
        <v>62010.93</v>
      </c>
      <c r="J312">
        <v>5935.46</v>
      </c>
      <c r="K312">
        <v>35</v>
      </c>
      <c r="L312">
        <v>4</v>
      </c>
      <c r="M312">
        <v>36</v>
      </c>
      <c r="N312">
        <v>3</v>
      </c>
      <c r="O312">
        <v>14</v>
      </c>
      <c r="P312">
        <v>35493.410000000003</v>
      </c>
      <c r="Q312">
        <v>101.04</v>
      </c>
      <c r="R312">
        <v>108.8</v>
      </c>
      <c r="S312">
        <v>0</v>
      </c>
      <c r="T312">
        <v>0</v>
      </c>
      <c r="U312">
        <v>0</v>
      </c>
      <c r="V312">
        <v>0</v>
      </c>
      <c r="W312">
        <v>0</v>
      </c>
      <c r="X312">
        <v>1</v>
      </c>
      <c r="Y312">
        <v>0</v>
      </c>
      <c r="Z312">
        <v>0</v>
      </c>
      <c r="AA312">
        <v>0</v>
      </c>
      <c r="AB312">
        <v>0</v>
      </c>
      <c r="AC312">
        <v>0</v>
      </c>
      <c r="AD312">
        <v>1</v>
      </c>
      <c r="AE312">
        <v>0</v>
      </c>
      <c r="AF312">
        <v>0</v>
      </c>
      <c r="AG312">
        <v>0</v>
      </c>
      <c r="AH312">
        <v>0</v>
      </c>
      <c r="AI312">
        <v>0</v>
      </c>
      <c r="AJ312">
        <v>0</v>
      </c>
      <c r="AK312">
        <v>0</v>
      </c>
      <c r="AL312">
        <v>0</v>
      </c>
      <c r="AM312">
        <v>0</v>
      </c>
      <c r="AN312">
        <v>0</v>
      </c>
      <c r="AO312">
        <v>0</v>
      </c>
      <c r="AP312">
        <v>0</v>
      </c>
    </row>
    <row r="313" spans="4:42" x14ac:dyDescent="0.45">
      <c r="D313">
        <v>2023</v>
      </c>
      <c r="E313">
        <v>10</v>
      </c>
      <c r="F313">
        <v>6642000</v>
      </c>
      <c r="G313">
        <v>576240.36</v>
      </c>
      <c r="H313">
        <v>261828.42</v>
      </c>
      <c r="I313">
        <v>219243.87</v>
      </c>
      <c r="J313">
        <v>81743.14</v>
      </c>
      <c r="K313">
        <v>31</v>
      </c>
      <c r="L313">
        <v>2</v>
      </c>
      <c r="M313">
        <v>46</v>
      </c>
      <c r="N313">
        <v>0</v>
      </c>
      <c r="O313">
        <v>16</v>
      </c>
      <c r="P313">
        <v>16686.55</v>
      </c>
      <c r="Q313">
        <v>102.95</v>
      </c>
      <c r="R313">
        <v>109.29</v>
      </c>
      <c r="S313">
        <v>0</v>
      </c>
      <c r="T313">
        <v>0</v>
      </c>
      <c r="U313">
        <v>0</v>
      </c>
      <c r="V313">
        <v>0</v>
      </c>
      <c r="W313">
        <v>0</v>
      </c>
      <c r="X313">
        <v>1</v>
      </c>
      <c r="Y313">
        <v>0</v>
      </c>
      <c r="Z313">
        <v>0</v>
      </c>
      <c r="AA313">
        <v>0</v>
      </c>
      <c r="AB313">
        <v>0</v>
      </c>
      <c r="AC313">
        <v>0</v>
      </c>
      <c r="AD313">
        <v>0</v>
      </c>
      <c r="AE313">
        <v>0</v>
      </c>
      <c r="AF313">
        <v>0</v>
      </c>
      <c r="AG313">
        <v>0</v>
      </c>
      <c r="AH313">
        <v>1</v>
      </c>
      <c r="AI313">
        <v>0</v>
      </c>
      <c r="AJ313">
        <v>0</v>
      </c>
      <c r="AK313">
        <v>0</v>
      </c>
      <c r="AL313">
        <v>0</v>
      </c>
      <c r="AM313">
        <v>0</v>
      </c>
      <c r="AN313">
        <v>0</v>
      </c>
      <c r="AO313">
        <v>0</v>
      </c>
      <c r="AP313">
        <v>0</v>
      </c>
    </row>
    <row r="314" spans="4:42" x14ac:dyDescent="0.45">
      <c r="D314">
        <v>2023</v>
      </c>
      <c r="E314">
        <v>10</v>
      </c>
      <c r="F314">
        <v>14462000</v>
      </c>
      <c r="G314">
        <v>1102514.31</v>
      </c>
      <c r="H314">
        <v>562688.30000000005</v>
      </c>
      <c r="I314">
        <v>447924.09</v>
      </c>
      <c r="J314">
        <v>77349.09</v>
      </c>
      <c r="K314">
        <v>76</v>
      </c>
      <c r="L314">
        <v>6</v>
      </c>
      <c r="M314">
        <v>109</v>
      </c>
      <c r="N314">
        <v>4</v>
      </c>
      <c r="O314">
        <v>21</v>
      </c>
      <c r="P314">
        <v>134322.13</v>
      </c>
      <c r="Q314">
        <v>102.19</v>
      </c>
      <c r="R314">
        <v>109.35</v>
      </c>
      <c r="S314">
        <v>0</v>
      </c>
      <c r="T314">
        <v>0</v>
      </c>
      <c r="U314">
        <v>0</v>
      </c>
      <c r="V314">
        <v>0</v>
      </c>
      <c r="W314">
        <v>0</v>
      </c>
      <c r="X314">
        <v>1</v>
      </c>
      <c r="Y314">
        <v>0</v>
      </c>
      <c r="Z314">
        <v>0</v>
      </c>
      <c r="AA314">
        <v>0</v>
      </c>
      <c r="AB314">
        <v>0</v>
      </c>
      <c r="AC314">
        <v>0</v>
      </c>
      <c r="AD314">
        <v>0</v>
      </c>
      <c r="AE314">
        <v>0</v>
      </c>
      <c r="AF314">
        <v>0</v>
      </c>
      <c r="AG314">
        <v>0</v>
      </c>
      <c r="AH314">
        <v>0</v>
      </c>
      <c r="AI314">
        <v>0</v>
      </c>
      <c r="AJ314">
        <v>0</v>
      </c>
      <c r="AK314">
        <v>0</v>
      </c>
      <c r="AL314">
        <v>0</v>
      </c>
      <c r="AM314">
        <v>0</v>
      </c>
      <c r="AN314">
        <v>1</v>
      </c>
      <c r="AO314">
        <v>0</v>
      </c>
      <c r="AP314">
        <v>0</v>
      </c>
    </row>
    <row r="315" spans="4:42" x14ac:dyDescent="0.45">
      <c r="D315">
        <v>2023</v>
      </c>
      <c r="E315">
        <v>10</v>
      </c>
      <c r="F315">
        <v>7820000</v>
      </c>
      <c r="G315">
        <v>585342.53</v>
      </c>
      <c r="H315">
        <v>320704.58</v>
      </c>
      <c r="I315">
        <v>232259.27</v>
      </c>
      <c r="J315">
        <v>41452.239999999998</v>
      </c>
      <c r="K315">
        <v>42</v>
      </c>
      <c r="L315">
        <v>2</v>
      </c>
      <c r="M315">
        <v>12</v>
      </c>
      <c r="N315">
        <v>2</v>
      </c>
      <c r="O315">
        <v>16</v>
      </c>
      <c r="P315">
        <v>61974.49</v>
      </c>
      <c r="Q315">
        <v>100.88</v>
      </c>
      <c r="R315">
        <v>109.1</v>
      </c>
      <c r="S315">
        <v>0</v>
      </c>
      <c r="T315">
        <v>0</v>
      </c>
      <c r="U315">
        <v>0</v>
      </c>
      <c r="V315">
        <v>0</v>
      </c>
      <c r="W315">
        <v>0</v>
      </c>
      <c r="X315">
        <v>1</v>
      </c>
      <c r="Y315">
        <v>0</v>
      </c>
      <c r="Z315">
        <v>0</v>
      </c>
      <c r="AA315">
        <v>0</v>
      </c>
      <c r="AB315">
        <v>0</v>
      </c>
      <c r="AC315">
        <v>0</v>
      </c>
      <c r="AD315">
        <v>0</v>
      </c>
      <c r="AE315">
        <v>0</v>
      </c>
      <c r="AF315">
        <v>0</v>
      </c>
      <c r="AG315">
        <v>1</v>
      </c>
      <c r="AH315">
        <v>0</v>
      </c>
      <c r="AI315">
        <v>0</v>
      </c>
      <c r="AJ315">
        <v>0</v>
      </c>
      <c r="AK315">
        <v>0</v>
      </c>
      <c r="AL315">
        <v>0</v>
      </c>
      <c r="AM315">
        <v>0</v>
      </c>
      <c r="AN315">
        <v>0</v>
      </c>
      <c r="AO315">
        <v>0</v>
      </c>
      <c r="AP315">
        <v>0</v>
      </c>
    </row>
    <row r="316" spans="4:42" x14ac:dyDescent="0.45">
      <c r="D316">
        <v>2023</v>
      </c>
      <c r="E316">
        <v>10</v>
      </c>
      <c r="F316">
        <v>23567000</v>
      </c>
      <c r="G316">
        <v>2089943.1</v>
      </c>
      <c r="H316">
        <v>1617763.72</v>
      </c>
      <c r="I316">
        <v>418822.5</v>
      </c>
      <c r="J316">
        <v>68114.23</v>
      </c>
      <c r="K316">
        <v>179</v>
      </c>
      <c r="L316">
        <v>12</v>
      </c>
      <c r="M316">
        <v>495</v>
      </c>
      <c r="N316">
        <v>8</v>
      </c>
      <c r="O316">
        <v>34</v>
      </c>
      <c r="P316">
        <v>480178.56</v>
      </c>
      <c r="Q316">
        <v>103.49</v>
      </c>
      <c r="R316">
        <v>109.54</v>
      </c>
      <c r="S316">
        <v>0</v>
      </c>
      <c r="T316">
        <v>0</v>
      </c>
      <c r="U316">
        <v>0</v>
      </c>
      <c r="V316">
        <v>0</v>
      </c>
      <c r="W316">
        <v>0</v>
      </c>
      <c r="X316">
        <v>1</v>
      </c>
      <c r="Y316">
        <v>0</v>
      </c>
      <c r="Z316">
        <v>0</v>
      </c>
      <c r="AA316">
        <v>0</v>
      </c>
      <c r="AB316">
        <v>0</v>
      </c>
      <c r="AC316">
        <v>0</v>
      </c>
      <c r="AD316">
        <v>0</v>
      </c>
      <c r="AE316">
        <v>1</v>
      </c>
      <c r="AF316">
        <v>0</v>
      </c>
      <c r="AG316">
        <v>0</v>
      </c>
      <c r="AH316">
        <v>0</v>
      </c>
      <c r="AI316">
        <v>0</v>
      </c>
      <c r="AJ316">
        <v>0</v>
      </c>
      <c r="AK316">
        <v>0</v>
      </c>
      <c r="AL316">
        <v>0</v>
      </c>
      <c r="AM316">
        <v>0</v>
      </c>
      <c r="AN316">
        <v>0</v>
      </c>
      <c r="AO316">
        <v>0</v>
      </c>
      <c r="AP316">
        <v>0</v>
      </c>
    </row>
    <row r="317" spans="4:42" x14ac:dyDescent="0.45">
      <c r="D317">
        <v>2023</v>
      </c>
      <c r="E317">
        <v>10</v>
      </c>
      <c r="F317">
        <v>26781000</v>
      </c>
      <c r="G317">
        <v>2596953.71</v>
      </c>
      <c r="H317">
        <v>1811170.66</v>
      </c>
      <c r="I317">
        <v>417972.57</v>
      </c>
      <c r="J317">
        <v>312428.40999999997</v>
      </c>
      <c r="K317">
        <v>215</v>
      </c>
      <c r="L317">
        <v>17</v>
      </c>
      <c r="M317">
        <v>839</v>
      </c>
      <c r="N317">
        <v>11</v>
      </c>
      <c r="O317">
        <v>41</v>
      </c>
      <c r="P317">
        <v>525014.43999999994</v>
      </c>
      <c r="Q317">
        <v>103.04</v>
      </c>
      <c r="R317">
        <v>108.64</v>
      </c>
      <c r="S317">
        <v>0</v>
      </c>
      <c r="T317">
        <v>0</v>
      </c>
      <c r="U317">
        <v>0</v>
      </c>
      <c r="V317">
        <v>0</v>
      </c>
      <c r="W317">
        <v>0</v>
      </c>
      <c r="X317">
        <v>1</v>
      </c>
      <c r="Y317">
        <v>0</v>
      </c>
      <c r="Z317">
        <v>0</v>
      </c>
      <c r="AA317">
        <v>0</v>
      </c>
      <c r="AB317">
        <v>0</v>
      </c>
      <c r="AC317">
        <v>0</v>
      </c>
      <c r="AD317">
        <v>0</v>
      </c>
      <c r="AE317">
        <v>0</v>
      </c>
      <c r="AF317">
        <v>0</v>
      </c>
      <c r="AG317">
        <v>0</v>
      </c>
      <c r="AH317">
        <v>0</v>
      </c>
      <c r="AI317">
        <v>0</v>
      </c>
      <c r="AJ317">
        <v>0</v>
      </c>
      <c r="AK317">
        <v>0</v>
      </c>
      <c r="AL317">
        <v>0</v>
      </c>
      <c r="AM317">
        <v>1</v>
      </c>
      <c r="AN317">
        <v>0</v>
      </c>
      <c r="AO317">
        <v>0</v>
      </c>
      <c r="AP317">
        <v>0</v>
      </c>
    </row>
    <row r="318" spans="4:42" x14ac:dyDescent="0.45">
      <c r="D318">
        <v>2023</v>
      </c>
      <c r="E318">
        <v>10</v>
      </c>
      <c r="F318">
        <v>4499000</v>
      </c>
      <c r="G318">
        <v>421659.05</v>
      </c>
      <c r="H318">
        <v>326684.12</v>
      </c>
      <c r="I318">
        <v>64044.97</v>
      </c>
      <c r="J318">
        <v>38474.44</v>
      </c>
      <c r="K318">
        <v>34</v>
      </c>
      <c r="L318">
        <v>4</v>
      </c>
      <c r="M318">
        <v>63</v>
      </c>
      <c r="N318">
        <v>0</v>
      </c>
      <c r="O318">
        <v>13</v>
      </c>
      <c r="P318">
        <v>8826.44</v>
      </c>
      <c r="Q318">
        <v>104.72</v>
      </c>
      <c r="R318">
        <v>109.82</v>
      </c>
      <c r="S318">
        <v>0</v>
      </c>
      <c r="T318">
        <v>0</v>
      </c>
      <c r="U318">
        <v>0</v>
      </c>
      <c r="V318">
        <v>0</v>
      </c>
      <c r="W318">
        <v>0</v>
      </c>
      <c r="X318">
        <v>1</v>
      </c>
      <c r="Y318">
        <v>0</v>
      </c>
      <c r="Z318">
        <v>0</v>
      </c>
      <c r="AA318">
        <v>0</v>
      </c>
      <c r="AB318">
        <v>0</v>
      </c>
      <c r="AC318">
        <v>0</v>
      </c>
      <c r="AD318">
        <v>0</v>
      </c>
      <c r="AE318">
        <v>0</v>
      </c>
      <c r="AF318">
        <v>0</v>
      </c>
      <c r="AG318">
        <v>0</v>
      </c>
      <c r="AH318">
        <v>0</v>
      </c>
      <c r="AI318">
        <v>0</v>
      </c>
      <c r="AJ318">
        <v>0</v>
      </c>
      <c r="AK318">
        <v>0</v>
      </c>
      <c r="AL318">
        <v>1</v>
      </c>
      <c r="AM318">
        <v>0</v>
      </c>
      <c r="AN318">
        <v>0</v>
      </c>
      <c r="AO318">
        <v>0</v>
      </c>
      <c r="AP318">
        <v>0</v>
      </c>
    </row>
    <row r="319" spans="4:42" x14ac:dyDescent="0.45">
      <c r="D319">
        <v>2023</v>
      </c>
      <c r="E319">
        <v>10</v>
      </c>
      <c r="F319">
        <v>8570000</v>
      </c>
      <c r="G319">
        <v>789478.71</v>
      </c>
      <c r="H319">
        <v>455220.68</v>
      </c>
      <c r="I319">
        <v>229338.92</v>
      </c>
      <c r="J319">
        <v>135411.66</v>
      </c>
      <c r="K319">
        <v>66</v>
      </c>
      <c r="L319">
        <v>6</v>
      </c>
      <c r="M319">
        <v>24</v>
      </c>
      <c r="N319">
        <v>2</v>
      </c>
      <c r="O319">
        <v>16</v>
      </c>
      <c r="P319">
        <v>59191.92</v>
      </c>
      <c r="Q319">
        <v>102.62</v>
      </c>
      <c r="R319">
        <v>109.16</v>
      </c>
      <c r="S319">
        <v>0</v>
      </c>
      <c r="T319">
        <v>0</v>
      </c>
      <c r="U319">
        <v>0</v>
      </c>
      <c r="V319">
        <v>0</v>
      </c>
      <c r="W319">
        <v>0</v>
      </c>
      <c r="X319">
        <v>1</v>
      </c>
      <c r="Y319">
        <v>0</v>
      </c>
      <c r="Z319">
        <v>0</v>
      </c>
      <c r="AA319">
        <v>0</v>
      </c>
      <c r="AB319">
        <v>0</v>
      </c>
      <c r="AC319">
        <v>0</v>
      </c>
      <c r="AD319">
        <v>0</v>
      </c>
      <c r="AE319">
        <v>0</v>
      </c>
      <c r="AF319">
        <v>0</v>
      </c>
      <c r="AG319">
        <v>0</v>
      </c>
      <c r="AH319">
        <v>0</v>
      </c>
      <c r="AI319">
        <v>0</v>
      </c>
      <c r="AJ319">
        <v>1</v>
      </c>
      <c r="AK319">
        <v>0</v>
      </c>
      <c r="AL319">
        <v>0</v>
      </c>
      <c r="AM319">
        <v>0</v>
      </c>
      <c r="AN319">
        <v>0</v>
      </c>
      <c r="AO319">
        <v>0</v>
      </c>
      <c r="AP319">
        <v>0</v>
      </c>
    </row>
    <row r="320" spans="4:42" x14ac:dyDescent="0.45">
      <c r="D320">
        <v>2023</v>
      </c>
      <c r="E320">
        <v>10</v>
      </c>
      <c r="F320">
        <v>20353000</v>
      </c>
      <c r="G320">
        <v>1487140.5</v>
      </c>
      <c r="H320">
        <v>770234</v>
      </c>
      <c r="I320">
        <v>677557.38</v>
      </c>
      <c r="J320">
        <v>114667.39</v>
      </c>
      <c r="K320">
        <v>94</v>
      </c>
      <c r="L320">
        <v>8</v>
      </c>
      <c r="M320">
        <v>415</v>
      </c>
      <c r="N320">
        <v>8</v>
      </c>
      <c r="O320">
        <v>31</v>
      </c>
      <c r="P320">
        <v>502580.47</v>
      </c>
      <c r="Q320">
        <v>102.06</v>
      </c>
      <c r="R320">
        <v>108.88</v>
      </c>
      <c r="S320">
        <v>0</v>
      </c>
      <c r="T320">
        <v>0</v>
      </c>
      <c r="U320">
        <v>0</v>
      </c>
      <c r="V320">
        <v>0</v>
      </c>
      <c r="W320">
        <v>0</v>
      </c>
      <c r="X320">
        <v>1</v>
      </c>
      <c r="Y320">
        <v>0</v>
      </c>
      <c r="Z320">
        <v>0</v>
      </c>
      <c r="AA320">
        <v>0</v>
      </c>
      <c r="AB320">
        <v>0</v>
      </c>
      <c r="AC320">
        <v>0</v>
      </c>
      <c r="AD320">
        <v>0</v>
      </c>
      <c r="AE320">
        <v>0</v>
      </c>
      <c r="AF320">
        <v>0</v>
      </c>
      <c r="AG320">
        <v>0</v>
      </c>
      <c r="AH320">
        <v>0</v>
      </c>
      <c r="AI320">
        <v>0</v>
      </c>
      <c r="AJ320">
        <v>0</v>
      </c>
      <c r="AK320">
        <v>0</v>
      </c>
      <c r="AL320">
        <v>0</v>
      </c>
      <c r="AM320">
        <v>0</v>
      </c>
      <c r="AN320">
        <v>0</v>
      </c>
      <c r="AO320">
        <v>0</v>
      </c>
      <c r="AP320">
        <v>1</v>
      </c>
    </row>
    <row r="321" spans="4:42" x14ac:dyDescent="0.45">
      <c r="D321">
        <v>2023</v>
      </c>
      <c r="E321">
        <v>11</v>
      </c>
      <c r="F321">
        <v>20353000</v>
      </c>
      <c r="G321">
        <v>1445480.11</v>
      </c>
      <c r="H321">
        <v>773955.25</v>
      </c>
      <c r="I321">
        <v>681451.99</v>
      </c>
      <c r="J321">
        <v>81264.929999999993</v>
      </c>
      <c r="K321">
        <v>96</v>
      </c>
      <c r="L321">
        <v>5</v>
      </c>
      <c r="M321">
        <v>587</v>
      </c>
      <c r="N321">
        <v>5</v>
      </c>
      <c r="O321">
        <v>31</v>
      </c>
      <c r="P321">
        <v>234089.88</v>
      </c>
      <c r="Q321">
        <v>100.08</v>
      </c>
      <c r="R321">
        <v>109.62</v>
      </c>
      <c r="S321">
        <v>0</v>
      </c>
      <c r="T321">
        <v>1</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c r="AP321">
        <v>1</v>
      </c>
    </row>
    <row r="322" spans="4:42" x14ac:dyDescent="0.45">
      <c r="D322">
        <v>2023</v>
      </c>
      <c r="E322">
        <v>11</v>
      </c>
      <c r="F322">
        <v>4499000</v>
      </c>
      <c r="G322">
        <v>395235.86</v>
      </c>
      <c r="H322">
        <v>325793.45</v>
      </c>
      <c r="I322">
        <v>66652.62</v>
      </c>
      <c r="J322">
        <v>3076.06</v>
      </c>
      <c r="K322">
        <v>34</v>
      </c>
      <c r="L322">
        <v>0</v>
      </c>
      <c r="M322">
        <v>24</v>
      </c>
      <c r="N322">
        <v>5</v>
      </c>
      <c r="O322">
        <v>15</v>
      </c>
      <c r="P322">
        <v>56599.28</v>
      </c>
      <c r="Q322">
        <v>102.41</v>
      </c>
      <c r="R322">
        <v>109.62</v>
      </c>
      <c r="S322">
        <v>0</v>
      </c>
      <c r="T322">
        <v>1</v>
      </c>
      <c r="U322">
        <v>0</v>
      </c>
      <c r="V322">
        <v>0</v>
      </c>
      <c r="W322">
        <v>0</v>
      </c>
      <c r="X322">
        <v>0</v>
      </c>
      <c r="Y322">
        <v>0</v>
      </c>
      <c r="Z322">
        <v>0</v>
      </c>
      <c r="AA322">
        <v>0</v>
      </c>
      <c r="AB322">
        <v>0</v>
      </c>
      <c r="AC322">
        <v>0</v>
      </c>
      <c r="AD322">
        <v>0</v>
      </c>
      <c r="AE322">
        <v>0</v>
      </c>
      <c r="AF322">
        <v>0</v>
      </c>
      <c r="AG322">
        <v>0</v>
      </c>
      <c r="AH322">
        <v>0</v>
      </c>
      <c r="AI322">
        <v>0</v>
      </c>
      <c r="AJ322">
        <v>0</v>
      </c>
      <c r="AK322">
        <v>0</v>
      </c>
      <c r="AL322">
        <v>1</v>
      </c>
      <c r="AM322">
        <v>0</v>
      </c>
      <c r="AN322">
        <v>0</v>
      </c>
      <c r="AO322">
        <v>0</v>
      </c>
      <c r="AP322">
        <v>0</v>
      </c>
    </row>
    <row r="323" spans="4:42" x14ac:dyDescent="0.45">
      <c r="D323">
        <v>2023</v>
      </c>
      <c r="E323">
        <v>11</v>
      </c>
      <c r="F323">
        <v>23567000</v>
      </c>
      <c r="G323">
        <v>2126788.4900000002</v>
      </c>
      <c r="H323">
        <v>1644002.15</v>
      </c>
      <c r="I323">
        <v>326984.62</v>
      </c>
      <c r="J323">
        <v>175162.74</v>
      </c>
      <c r="K323">
        <v>184</v>
      </c>
      <c r="L323">
        <v>16</v>
      </c>
      <c r="M323">
        <v>841</v>
      </c>
      <c r="N323">
        <v>9</v>
      </c>
      <c r="O323">
        <v>31</v>
      </c>
      <c r="P323">
        <v>435268.73</v>
      </c>
      <c r="Q323">
        <v>101.46</v>
      </c>
      <c r="R323">
        <v>109.07</v>
      </c>
      <c r="S323">
        <v>0</v>
      </c>
      <c r="T323">
        <v>1</v>
      </c>
      <c r="U323">
        <v>0</v>
      </c>
      <c r="V323">
        <v>0</v>
      </c>
      <c r="W323">
        <v>0</v>
      </c>
      <c r="X323">
        <v>0</v>
      </c>
      <c r="Y323">
        <v>0</v>
      </c>
      <c r="Z323">
        <v>0</v>
      </c>
      <c r="AA323">
        <v>0</v>
      </c>
      <c r="AB323">
        <v>0</v>
      </c>
      <c r="AC323">
        <v>0</v>
      </c>
      <c r="AD323">
        <v>0</v>
      </c>
      <c r="AE323">
        <v>0</v>
      </c>
      <c r="AF323">
        <v>1</v>
      </c>
      <c r="AG323">
        <v>0</v>
      </c>
      <c r="AH323">
        <v>0</v>
      </c>
      <c r="AI323">
        <v>0</v>
      </c>
      <c r="AJ323">
        <v>0</v>
      </c>
      <c r="AK323">
        <v>0</v>
      </c>
      <c r="AL323">
        <v>0</v>
      </c>
      <c r="AM323">
        <v>0</v>
      </c>
      <c r="AN323">
        <v>0</v>
      </c>
      <c r="AO323">
        <v>0</v>
      </c>
      <c r="AP323">
        <v>0</v>
      </c>
    </row>
    <row r="324" spans="4:42" x14ac:dyDescent="0.45">
      <c r="D324">
        <v>2023</v>
      </c>
      <c r="E324">
        <v>11</v>
      </c>
      <c r="F324">
        <v>7820000</v>
      </c>
      <c r="G324">
        <v>610737.39</v>
      </c>
      <c r="H324">
        <v>330932.34000000003</v>
      </c>
      <c r="I324">
        <v>267255.87</v>
      </c>
      <c r="J324">
        <v>26507.5</v>
      </c>
      <c r="K324">
        <v>43</v>
      </c>
      <c r="L324">
        <v>4</v>
      </c>
      <c r="M324">
        <v>62</v>
      </c>
      <c r="N324">
        <v>2</v>
      </c>
      <c r="O324">
        <v>13</v>
      </c>
      <c r="P324">
        <v>53169.95</v>
      </c>
      <c r="Q324">
        <v>103.36</v>
      </c>
      <c r="R324">
        <v>109.02</v>
      </c>
      <c r="S324">
        <v>0</v>
      </c>
      <c r="T324">
        <v>1</v>
      </c>
      <c r="U324">
        <v>0</v>
      </c>
      <c r="V324">
        <v>0</v>
      </c>
      <c r="W324">
        <v>0</v>
      </c>
      <c r="X324">
        <v>0</v>
      </c>
      <c r="Y324">
        <v>0</v>
      </c>
      <c r="Z324">
        <v>0</v>
      </c>
      <c r="AA324">
        <v>0</v>
      </c>
      <c r="AB324">
        <v>0</v>
      </c>
      <c r="AC324">
        <v>0</v>
      </c>
      <c r="AD324">
        <v>0</v>
      </c>
      <c r="AE324">
        <v>0</v>
      </c>
      <c r="AF324">
        <v>0</v>
      </c>
      <c r="AG324">
        <v>1</v>
      </c>
      <c r="AH324">
        <v>0</v>
      </c>
      <c r="AI324">
        <v>0</v>
      </c>
      <c r="AJ324">
        <v>0</v>
      </c>
      <c r="AK324">
        <v>0</v>
      </c>
      <c r="AL324">
        <v>0</v>
      </c>
      <c r="AM324">
        <v>0</v>
      </c>
      <c r="AN324">
        <v>0</v>
      </c>
      <c r="AO324">
        <v>0</v>
      </c>
      <c r="AP324">
        <v>0</v>
      </c>
    </row>
    <row r="325" spans="4:42" x14ac:dyDescent="0.45">
      <c r="D325">
        <v>2023</v>
      </c>
      <c r="E325">
        <v>11</v>
      </c>
      <c r="F325">
        <v>3749000</v>
      </c>
      <c r="G325">
        <v>305937.7</v>
      </c>
      <c r="H325">
        <v>258961.12</v>
      </c>
      <c r="I325">
        <v>39401.65</v>
      </c>
      <c r="J325">
        <v>2882.26</v>
      </c>
      <c r="K325">
        <v>26</v>
      </c>
      <c r="L325">
        <v>0</v>
      </c>
      <c r="M325">
        <v>40</v>
      </c>
      <c r="N325">
        <v>2</v>
      </c>
      <c r="O325">
        <v>14</v>
      </c>
      <c r="P325">
        <v>22444.43</v>
      </c>
      <c r="Q325">
        <v>102.15</v>
      </c>
      <c r="R325">
        <v>109.56</v>
      </c>
      <c r="S325">
        <v>0</v>
      </c>
      <c r="T325">
        <v>1</v>
      </c>
      <c r="U325">
        <v>0</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c r="AP325">
        <v>0</v>
      </c>
    </row>
    <row r="326" spans="4:42" x14ac:dyDescent="0.45">
      <c r="D326">
        <v>2023</v>
      </c>
      <c r="E326">
        <v>11</v>
      </c>
      <c r="F326">
        <v>8570000</v>
      </c>
      <c r="G326">
        <v>805745.46</v>
      </c>
      <c r="H326">
        <v>462394.24</v>
      </c>
      <c r="I326">
        <v>214796.38</v>
      </c>
      <c r="J326">
        <v>134251.26999999999</v>
      </c>
      <c r="K326">
        <v>64</v>
      </c>
      <c r="L326">
        <v>2</v>
      </c>
      <c r="M326">
        <v>149</v>
      </c>
      <c r="N326">
        <v>1</v>
      </c>
      <c r="O326">
        <v>16</v>
      </c>
      <c r="P326">
        <v>32690.89</v>
      </c>
      <c r="Q326">
        <v>102.39</v>
      </c>
      <c r="R326">
        <v>108.5</v>
      </c>
      <c r="S326">
        <v>0</v>
      </c>
      <c r="T326">
        <v>1</v>
      </c>
      <c r="U326">
        <v>0</v>
      </c>
      <c r="V326">
        <v>0</v>
      </c>
      <c r="W326">
        <v>0</v>
      </c>
      <c r="X326">
        <v>0</v>
      </c>
      <c r="Y326">
        <v>0</v>
      </c>
      <c r="Z326">
        <v>0</v>
      </c>
      <c r="AA326">
        <v>0</v>
      </c>
      <c r="AB326">
        <v>0</v>
      </c>
      <c r="AC326">
        <v>0</v>
      </c>
      <c r="AD326">
        <v>0</v>
      </c>
      <c r="AE326">
        <v>0</v>
      </c>
      <c r="AF326">
        <v>0</v>
      </c>
      <c r="AG326">
        <v>0</v>
      </c>
      <c r="AH326">
        <v>0</v>
      </c>
      <c r="AI326">
        <v>0</v>
      </c>
      <c r="AJ326">
        <v>1</v>
      </c>
      <c r="AK326">
        <v>0</v>
      </c>
      <c r="AL326">
        <v>0</v>
      </c>
      <c r="AM326">
        <v>0</v>
      </c>
      <c r="AN326">
        <v>0</v>
      </c>
      <c r="AO326">
        <v>0</v>
      </c>
      <c r="AP326">
        <v>0</v>
      </c>
    </row>
    <row r="327" spans="4:42" x14ac:dyDescent="0.45">
      <c r="D327">
        <v>2023</v>
      </c>
      <c r="E327">
        <v>11</v>
      </c>
      <c r="F327">
        <v>26781000</v>
      </c>
      <c r="G327">
        <v>2679033.2000000002</v>
      </c>
      <c r="H327">
        <v>1803262.1</v>
      </c>
      <c r="I327">
        <v>449169.89</v>
      </c>
      <c r="J327">
        <v>316531.46000000002</v>
      </c>
      <c r="K327">
        <v>208</v>
      </c>
      <c r="L327">
        <v>15</v>
      </c>
      <c r="M327">
        <v>853</v>
      </c>
      <c r="N327">
        <v>5</v>
      </c>
      <c r="O327">
        <v>26</v>
      </c>
      <c r="P327">
        <v>439753.09</v>
      </c>
      <c r="Q327">
        <v>102.3</v>
      </c>
      <c r="R327">
        <v>110.34</v>
      </c>
      <c r="S327">
        <v>0</v>
      </c>
      <c r="T327">
        <v>1</v>
      </c>
      <c r="U327">
        <v>0</v>
      </c>
      <c r="V327">
        <v>0</v>
      </c>
      <c r="W327">
        <v>0</v>
      </c>
      <c r="X327">
        <v>0</v>
      </c>
      <c r="Y327">
        <v>0</v>
      </c>
      <c r="Z327">
        <v>0</v>
      </c>
      <c r="AA327">
        <v>0</v>
      </c>
      <c r="AB327">
        <v>0</v>
      </c>
      <c r="AC327">
        <v>0</v>
      </c>
      <c r="AD327">
        <v>0</v>
      </c>
      <c r="AE327">
        <v>0</v>
      </c>
      <c r="AF327">
        <v>0</v>
      </c>
      <c r="AG327">
        <v>0</v>
      </c>
      <c r="AH327">
        <v>0</v>
      </c>
      <c r="AI327">
        <v>0</v>
      </c>
      <c r="AJ327">
        <v>0</v>
      </c>
      <c r="AK327">
        <v>0</v>
      </c>
      <c r="AL327">
        <v>0</v>
      </c>
      <c r="AM327">
        <v>1</v>
      </c>
      <c r="AN327">
        <v>0</v>
      </c>
      <c r="AO327">
        <v>0</v>
      </c>
      <c r="AP327">
        <v>0</v>
      </c>
    </row>
    <row r="328" spans="4:42" x14ac:dyDescent="0.45">
      <c r="D328">
        <v>2023</v>
      </c>
      <c r="E328">
        <v>11</v>
      </c>
      <c r="F328">
        <v>6642000</v>
      </c>
      <c r="G328">
        <v>557746.56000000006</v>
      </c>
      <c r="H328">
        <v>288117.23</v>
      </c>
      <c r="I328">
        <v>236840.4</v>
      </c>
      <c r="J328">
        <v>37864.82</v>
      </c>
      <c r="K328">
        <v>31</v>
      </c>
      <c r="L328">
        <v>3</v>
      </c>
      <c r="M328">
        <v>50</v>
      </c>
      <c r="N328">
        <v>2</v>
      </c>
      <c r="O328">
        <v>11</v>
      </c>
      <c r="P328">
        <v>38130.699999999997</v>
      </c>
      <c r="Q328">
        <v>106.67</v>
      </c>
      <c r="R328">
        <v>109.95</v>
      </c>
      <c r="S328">
        <v>0</v>
      </c>
      <c r="T328">
        <v>1</v>
      </c>
      <c r="U328">
        <v>0</v>
      </c>
      <c r="V328">
        <v>0</v>
      </c>
      <c r="W328">
        <v>0</v>
      </c>
      <c r="X328">
        <v>0</v>
      </c>
      <c r="Y328">
        <v>0</v>
      </c>
      <c r="Z328">
        <v>0</v>
      </c>
      <c r="AA328">
        <v>0</v>
      </c>
      <c r="AB328">
        <v>0</v>
      </c>
      <c r="AC328">
        <v>0</v>
      </c>
      <c r="AD328">
        <v>0</v>
      </c>
      <c r="AE328">
        <v>0</v>
      </c>
      <c r="AF328">
        <v>0</v>
      </c>
      <c r="AG328">
        <v>0</v>
      </c>
      <c r="AH328">
        <v>1</v>
      </c>
      <c r="AI328">
        <v>0</v>
      </c>
      <c r="AJ328">
        <v>0</v>
      </c>
      <c r="AK328">
        <v>0</v>
      </c>
      <c r="AL328">
        <v>0</v>
      </c>
      <c r="AM328">
        <v>0</v>
      </c>
      <c r="AN328">
        <v>0</v>
      </c>
      <c r="AO328">
        <v>0</v>
      </c>
      <c r="AP328">
        <v>0</v>
      </c>
    </row>
    <row r="329" spans="4:42" x14ac:dyDescent="0.45">
      <c r="D329">
        <v>2023</v>
      </c>
      <c r="E329">
        <v>11</v>
      </c>
      <c r="F329">
        <v>5142000</v>
      </c>
      <c r="G329">
        <v>456372.64</v>
      </c>
      <c r="H329">
        <v>385427.74</v>
      </c>
      <c r="I329">
        <v>61004.03</v>
      </c>
      <c r="J329">
        <v>9135.57</v>
      </c>
      <c r="K329">
        <v>38</v>
      </c>
      <c r="L329">
        <v>3</v>
      </c>
      <c r="M329">
        <v>29</v>
      </c>
      <c r="N329">
        <v>2</v>
      </c>
      <c r="O329">
        <v>9</v>
      </c>
      <c r="P329">
        <v>21520.63</v>
      </c>
      <c r="Q329">
        <v>101.9</v>
      </c>
      <c r="R329">
        <v>109.11</v>
      </c>
      <c r="S329">
        <v>0</v>
      </c>
      <c r="T329">
        <v>1</v>
      </c>
      <c r="U329">
        <v>0</v>
      </c>
      <c r="V329">
        <v>0</v>
      </c>
      <c r="W329">
        <v>0</v>
      </c>
      <c r="X329">
        <v>0</v>
      </c>
      <c r="Y329">
        <v>0</v>
      </c>
      <c r="Z329">
        <v>0</v>
      </c>
      <c r="AA329">
        <v>0</v>
      </c>
      <c r="AB329">
        <v>0</v>
      </c>
      <c r="AC329">
        <v>0</v>
      </c>
      <c r="AD329">
        <v>1</v>
      </c>
      <c r="AE329">
        <v>0</v>
      </c>
      <c r="AF329">
        <v>0</v>
      </c>
      <c r="AG329">
        <v>0</v>
      </c>
      <c r="AH329">
        <v>0</v>
      </c>
      <c r="AI329">
        <v>0</v>
      </c>
      <c r="AJ329">
        <v>0</v>
      </c>
      <c r="AK329">
        <v>0</v>
      </c>
      <c r="AL329">
        <v>0</v>
      </c>
      <c r="AM329">
        <v>0</v>
      </c>
      <c r="AN329">
        <v>0</v>
      </c>
      <c r="AO329">
        <v>0</v>
      </c>
      <c r="AP329">
        <v>0</v>
      </c>
    </row>
    <row r="330" spans="4:42" x14ac:dyDescent="0.45">
      <c r="D330">
        <v>2023</v>
      </c>
      <c r="E330">
        <v>11</v>
      </c>
      <c r="F330">
        <v>14462000</v>
      </c>
      <c r="G330">
        <v>1117900.5</v>
      </c>
      <c r="H330">
        <v>569424.80000000005</v>
      </c>
      <c r="I330">
        <v>430471.13</v>
      </c>
      <c r="J330">
        <v>76374.8</v>
      </c>
      <c r="K330">
        <v>79</v>
      </c>
      <c r="L330">
        <v>7</v>
      </c>
      <c r="M330">
        <v>116</v>
      </c>
      <c r="N330">
        <v>3</v>
      </c>
      <c r="O330">
        <v>19</v>
      </c>
      <c r="P330">
        <v>84910.080000000002</v>
      </c>
      <c r="Q330">
        <v>97.07</v>
      </c>
      <c r="R330">
        <v>109.76</v>
      </c>
      <c r="S330">
        <v>0</v>
      </c>
      <c r="T330">
        <v>1</v>
      </c>
      <c r="U330">
        <v>0</v>
      </c>
      <c r="V330">
        <v>0</v>
      </c>
      <c r="W330">
        <v>0</v>
      </c>
      <c r="X330">
        <v>0</v>
      </c>
      <c r="Y330">
        <v>0</v>
      </c>
      <c r="Z330">
        <v>0</v>
      </c>
      <c r="AA330">
        <v>0</v>
      </c>
      <c r="AB330">
        <v>0</v>
      </c>
      <c r="AC330">
        <v>0</v>
      </c>
      <c r="AD330">
        <v>0</v>
      </c>
      <c r="AE330">
        <v>0</v>
      </c>
      <c r="AF330">
        <v>0</v>
      </c>
      <c r="AG330">
        <v>0</v>
      </c>
      <c r="AH330">
        <v>0</v>
      </c>
      <c r="AI330">
        <v>0</v>
      </c>
      <c r="AJ330">
        <v>0</v>
      </c>
      <c r="AK330">
        <v>0</v>
      </c>
      <c r="AL330">
        <v>0</v>
      </c>
      <c r="AM330">
        <v>0</v>
      </c>
      <c r="AN330">
        <v>1</v>
      </c>
      <c r="AO330">
        <v>0</v>
      </c>
      <c r="AP330">
        <v>0</v>
      </c>
    </row>
    <row r="331" spans="4:42" x14ac:dyDescent="0.45">
      <c r="D331">
        <v>2023</v>
      </c>
      <c r="E331">
        <v>12</v>
      </c>
      <c r="F331">
        <v>26781000</v>
      </c>
      <c r="G331">
        <v>2320273.7799999998</v>
      </c>
      <c r="H331">
        <v>1760423.93</v>
      </c>
      <c r="I331">
        <v>425196.54</v>
      </c>
      <c r="J331">
        <v>56384.5</v>
      </c>
      <c r="K331">
        <v>212</v>
      </c>
      <c r="L331">
        <v>14</v>
      </c>
      <c r="M331">
        <v>828</v>
      </c>
      <c r="N331">
        <v>8</v>
      </c>
      <c r="O331">
        <v>34</v>
      </c>
      <c r="P331">
        <v>657469.42000000004</v>
      </c>
      <c r="Q331">
        <v>94.29</v>
      </c>
      <c r="R331">
        <v>109.83</v>
      </c>
      <c r="S331">
        <v>0</v>
      </c>
      <c r="T331">
        <v>0</v>
      </c>
      <c r="U331">
        <v>0</v>
      </c>
      <c r="V331">
        <v>0</v>
      </c>
      <c r="W331">
        <v>0</v>
      </c>
      <c r="X331">
        <v>0</v>
      </c>
      <c r="Y331">
        <v>0</v>
      </c>
      <c r="Z331">
        <v>0</v>
      </c>
      <c r="AA331">
        <v>0</v>
      </c>
      <c r="AB331">
        <v>0</v>
      </c>
      <c r="AC331">
        <v>1</v>
      </c>
      <c r="AD331">
        <v>0</v>
      </c>
      <c r="AE331">
        <v>0</v>
      </c>
      <c r="AF331">
        <v>0</v>
      </c>
      <c r="AG331">
        <v>0</v>
      </c>
      <c r="AH331">
        <v>0</v>
      </c>
      <c r="AI331">
        <v>0</v>
      </c>
      <c r="AJ331">
        <v>0</v>
      </c>
      <c r="AK331">
        <v>0</v>
      </c>
      <c r="AL331">
        <v>0</v>
      </c>
      <c r="AM331">
        <v>1</v>
      </c>
      <c r="AN331">
        <v>0</v>
      </c>
      <c r="AO331">
        <v>0</v>
      </c>
      <c r="AP331">
        <v>0</v>
      </c>
    </row>
    <row r="332" spans="4:42" x14ac:dyDescent="0.45">
      <c r="D332">
        <v>2023</v>
      </c>
      <c r="E332">
        <v>12</v>
      </c>
      <c r="F332">
        <v>3749000</v>
      </c>
      <c r="G332">
        <v>317460.37</v>
      </c>
      <c r="H332">
        <v>265619.73</v>
      </c>
      <c r="I332">
        <v>45055.71</v>
      </c>
      <c r="J332">
        <v>6042.21</v>
      </c>
      <c r="K332">
        <v>28</v>
      </c>
      <c r="L332">
        <v>2</v>
      </c>
      <c r="M332">
        <v>33</v>
      </c>
      <c r="N332">
        <v>4</v>
      </c>
      <c r="O332">
        <v>16</v>
      </c>
      <c r="P332">
        <v>34010.6</v>
      </c>
      <c r="Q332">
        <v>103.43</v>
      </c>
      <c r="R332">
        <v>110.5</v>
      </c>
      <c r="S332">
        <v>0</v>
      </c>
      <c r="T332">
        <v>0</v>
      </c>
      <c r="U332">
        <v>0</v>
      </c>
      <c r="V332">
        <v>0</v>
      </c>
      <c r="W332">
        <v>0</v>
      </c>
      <c r="X332">
        <v>0</v>
      </c>
      <c r="Y332">
        <v>0</v>
      </c>
      <c r="Z332">
        <v>0</v>
      </c>
      <c r="AA332">
        <v>0</v>
      </c>
      <c r="AB332">
        <v>0</v>
      </c>
      <c r="AC332">
        <v>1</v>
      </c>
      <c r="AD332">
        <v>0</v>
      </c>
      <c r="AE332">
        <v>0</v>
      </c>
      <c r="AF332">
        <v>0</v>
      </c>
      <c r="AG332">
        <v>0</v>
      </c>
      <c r="AH332">
        <v>0</v>
      </c>
      <c r="AI332">
        <v>0</v>
      </c>
      <c r="AJ332">
        <v>0</v>
      </c>
      <c r="AK332">
        <v>0</v>
      </c>
      <c r="AL332">
        <v>0</v>
      </c>
      <c r="AM332">
        <v>0</v>
      </c>
      <c r="AN332">
        <v>0</v>
      </c>
      <c r="AO332">
        <v>0</v>
      </c>
      <c r="AP332">
        <v>0</v>
      </c>
    </row>
    <row r="333" spans="4:42" x14ac:dyDescent="0.45">
      <c r="D333">
        <v>2023</v>
      </c>
      <c r="E333">
        <v>12</v>
      </c>
      <c r="F333">
        <v>14462000</v>
      </c>
      <c r="G333">
        <v>1387864.39</v>
      </c>
      <c r="H333">
        <v>623670.43999999994</v>
      </c>
      <c r="I333">
        <v>483382.99</v>
      </c>
      <c r="J333">
        <v>317618.39</v>
      </c>
      <c r="K333">
        <v>84</v>
      </c>
      <c r="L333">
        <v>3</v>
      </c>
      <c r="M333">
        <v>63</v>
      </c>
      <c r="N333">
        <v>7</v>
      </c>
      <c r="O333">
        <v>25</v>
      </c>
      <c r="P333">
        <v>308338.40000000002</v>
      </c>
      <c r="Q333">
        <v>98.34</v>
      </c>
      <c r="R333">
        <v>110.57</v>
      </c>
      <c r="S333">
        <v>0</v>
      </c>
      <c r="T333">
        <v>0</v>
      </c>
      <c r="U333">
        <v>0</v>
      </c>
      <c r="V333">
        <v>0</v>
      </c>
      <c r="W333">
        <v>0</v>
      </c>
      <c r="X333">
        <v>0</v>
      </c>
      <c r="Y333">
        <v>0</v>
      </c>
      <c r="Z333">
        <v>0</v>
      </c>
      <c r="AA333">
        <v>0</v>
      </c>
      <c r="AB333">
        <v>0</v>
      </c>
      <c r="AC333">
        <v>1</v>
      </c>
      <c r="AD333">
        <v>0</v>
      </c>
      <c r="AE333">
        <v>0</v>
      </c>
      <c r="AF333">
        <v>0</v>
      </c>
      <c r="AG333">
        <v>0</v>
      </c>
      <c r="AH333">
        <v>0</v>
      </c>
      <c r="AI333">
        <v>0</v>
      </c>
      <c r="AJ333">
        <v>0</v>
      </c>
      <c r="AK333">
        <v>0</v>
      </c>
      <c r="AL333">
        <v>0</v>
      </c>
      <c r="AM333">
        <v>0</v>
      </c>
      <c r="AN333">
        <v>1</v>
      </c>
      <c r="AO333">
        <v>0</v>
      </c>
      <c r="AP333">
        <v>0</v>
      </c>
    </row>
    <row r="334" spans="4:42" x14ac:dyDescent="0.45">
      <c r="D334">
        <v>2023</v>
      </c>
      <c r="E334">
        <v>12</v>
      </c>
      <c r="F334">
        <v>20353000</v>
      </c>
      <c r="G334">
        <v>1649643.31</v>
      </c>
      <c r="H334">
        <v>784808.69</v>
      </c>
      <c r="I334">
        <v>784158.64</v>
      </c>
      <c r="J334">
        <v>38385.65</v>
      </c>
      <c r="K334">
        <v>95</v>
      </c>
      <c r="L334">
        <v>7</v>
      </c>
      <c r="M334">
        <v>405</v>
      </c>
      <c r="N334">
        <v>7</v>
      </c>
      <c r="O334">
        <v>31</v>
      </c>
      <c r="P334">
        <v>330868.08</v>
      </c>
      <c r="Q334">
        <v>97.47</v>
      </c>
      <c r="R334">
        <v>109.3</v>
      </c>
      <c r="S334">
        <v>0</v>
      </c>
      <c r="T334">
        <v>0</v>
      </c>
      <c r="U334">
        <v>0</v>
      </c>
      <c r="V334">
        <v>0</v>
      </c>
      <c r="W334">
        <v>0</v>
      </c>
      <c r="X334">
        <v>0</v>
      </c>
      <c r="Y334">
        <v>0</v>
      </c>
      <c r="Z334">
        <v>0</v>
      </c>
      <c r="AA334">
        <v>0</v>
      </c>
      <c r="AB334">
        <v>0</v>
      </c>
      <c r="AC334">
        <v>1</v>
      </c>
      <c r="AD334">
        <v>0</v>
      </c>
      <c r="AE334">
        <v>0</v>
      </c>
      <c r="AF334">
        <v>0</v>
      </c>
      <c r="AG334">
        <v>0</v>
      </c>
      <c r="AH334">
        <v>0</v>
      </c>
      <c r="AI334">
        <v>0</v>
      </c>
      <c r="AJ334">
        <v>0</v>
      </c>
      <c r="AK334">
        <v>0</v>
      </c>
      <c r="AL334">
        <v>0</v>
      </c>
      <c r="AM334">
        <v>0</v>
      </c>
      <c r="AN334">
        <v>0</v>
      </c>
      <c r="AO334">
        <v>0</v>
      </c>
      <c r="AP334">
        <v>1</v>
      </c>
    </row>
    <row r="335" spans="4:42" x14ac:dyDescent="0.45">
      <c r="D335">
        <v>2023</v>
      </c>
      <c r="E335">
        <v>12</v>
      </c>
      <c r="F335">
        <v>6642000</v>
      </c>
      <c r="G335">
        <v>553495.91</v>
      </c>
      <c r="H335">
        <v>271573.93</v>
      </c>
      <c r="I335">
        <v>249973.57</v>
      </c>
      <c r="J335">
        <v>25827.68</v>
      </c>
      <c r="K335">
        <v>30</v>
      </c>
      <c r="L335">
        <v>0</v>
      </c>
      <c r="M335">
        <v>30</v>
      </c>
      <c r="N335">
        <v>0</v>
      </c>
      <c r="O335">
        <v>10</v>
      </c>
      <c r="P335">
        <v>13142.8</v>
      </c>
      <c r="Q335">
        <v>102.05</v>
      </c>
      <c r="R335">
        <v>109.42</v>
      </c>
      <c r="S335">
        <v>0</v>
      </c>
      <c r="T335">
        <v>0</v>
      </c>
      <c r="U335">
        <v>0</v>
      </c>
      <c r="V335">
        <v>0</v>
      </c>
      <c r="W335">
        <v>0</v>
      </c>
      <c r="X335">
        <v>0</v>
      </c>
      <c r="Y335">
        <v>0</v>
      </c>
      <c r="Z335">
        <v>0</v>
      </c>
      <c r="AA335">
        <v>0</v>
      </c>
      <c r="AB335">
        <v>0</v>
      </c>
      <c r="AC335">
        <v>1</v>
      </c>
      <c r="AD335">
        <v>0</v>
      </c>
      <c r="AE335">
        <v>0</v>
      </c>
      <c r="AF335">
        <v>0</v>
      </c>
      <c r="AG335">
        <v>0</v>
      </c>
      <c r="AH335">
        <v>1</v>
      </c>
      <c r="AI335">
        <v>0</v>
      </c>
      <c r="AJ335">
        <v>0</v>
      </c>
      <c r="AK335">
        <v>0</v>
      </c>
      <c r="AL335">
        <v>0</v>
      </c>
      <c r="AM335">
        <v>0</v>
      </c>
      <c r="AN335">
        <v>0</v>
      </c>
      <c r="AO335">
        <v>0</v>
      </c>
      <c r="AP335">
        <v>0</v>
      </c>
    </row>
    <row r="336" spans="4:42" x14ac:dyDescent="0.45">
      <c r="D336">
        <v>2023</v>
      </c>
      <c r="E336">
        <v>12</v>
      </c>
      <c r="F336">
        <v>5142000</v>
      </c>
      <c r="G336">
        <v>451872.78</v>
      </c>
      <c r="H336">
        <v>389575.01</v>
      </c>
      <c r="I336">
        <v>67673.25</v>
      </c>
      <c r="J336">
        <v>3481.75</v>
      </c>
      <c r="K336">
        <v>39</v>
      </c>
      <c r="L336">
        <v>4</v>
      </c>
      <c r="M336">
        <v>58</v>
      </c>
      <c r="N336">
        <v>2</v>
      </c>
      <c r="O336">
        <v>16</v>
      </c>
      <c r="P336">
        <v>27047.82</v>
      </c>
      <c r="Q336">
        <v>102.75</v>
      </c>
      <c r="R336">
        <v>109.59</v>
      </c>
      <c r="S336">
        <v>0</v>
      </c>
      <c r="T336">
        <v>0</v>
      </c>
      <c r="U336">
        <v>0</v>
      </c>
      <c r="V336">
        <v>0</v>
      </c>
      <c r="W336">
        <v>0</v>
      </c>
      <c r="X336">
        <v>0</v>
      </c>
      <c r="Y336">
        <v>0</v>
      </c>
      <c r="Z336">
        <v>0</v>
      </c>
      <c r="AA336">
        <v>0</v>
      </c>
      <c r="AB336">
        <v>0</v>
      </c>
      <c r="AC336">
        <v>1</v>
      </c>
      <c r="AD336">
        <v>1</v>
      </c>
      <c r="AE336">
        <v>0</v>
      </c>
      <c r="AF336">
        <v>0</v>
      </c>
      <c r="AG336">
        <v>0</v>
      </c>
      <c r="AH336">
        <v>0</v>
      </c>
      <c r="AI336">
        <v>0</v>
      </c>
      <c r="AJ336">
        <v>0</v>
      </c>
      <c r="AK336">
        <v>0</v>
      </c>
      <c r="AL336">
        <v>0</v>
      </c>
      <c r="AM336">
        <v>0</v>
      </c>
      <c r="AN336">
        <v>0</v>
      </c>
      <c r="AO336">
        <v>0</v>
      </c>
      <c r="AP336">
        <v>0</v>
      </c>
    </row>
    <row r="337" spans="4:42" x14ac:dyDescent="0.45">
      <c r="D337">
        <v>2023</v>
      </c>
      <c r="E337">
        <v>12</v>
      </c>
      <c r="F337">
        <v>7820000</v>
      </c>
      <c r="G337">
        <v>657079.14</v>
      </c>
      <c r="H337">
        <v>319654.78999999998</v>
      </c>
      <c r="I337">
        <v>258694.11</v>
      </c>
      <c r="J337">
        <v>104566.14</v>
      </c>
      <c r="K337">
        <v>44</v>
      </c>
      <c r="L337">
        <v>8</v>
      </c>
      <c r="M337">
        <v>14</v>
      </c>
      <c r="N337">
        <v>2</v>
      </c>
      <c r="O337">
        <v>11</v>
      </c>
      <c r="P337">
        <v>47374.82</v>
      </c>
      <c r="Q337">
        <v>104.11</v>
      </c>
      <c r="R337">
        <v>109.58</v>
      </c>
      <c r="S337">
        <v>0</v>
      </c>
      <c r="T337">
        <v>0</v>
      </c>
      <c r="U337">
        <v>0</v>
      </c>
      <c r="V337">
        <v>0</v>
      </c>
      <c r="W337">
        <v>0</v>
      </c>
      <c r="X337">
        <v>0</v>
      </c>
      <c r="Y337">
        <v>0</v>
      </c>
      <c r="Z337">
        <v>0</v>
      </c>
      <c r="AA337">
        <v>0</v>
      </c>
      <c r="AB337">
        <v>0</v>
      </c>
      <c r="AC337">
        <v>1</v>
      </c>
      <c r="AD337">
        <v>0</v>
      </c>
      <c r="AE337">
        <v>0</v>
      </c>
      <c r="AF337">
        <v>0</v>
      </c>
      <c r="AG337">
        <v>1</v>
      </c>
      <c r="AH337">
        <v>0</v>
      </c>
      <c r="AI337">
        <v>0</v>
      </c>
      <c r="AJ337">
        <v>0</v>
      </c>
      <c r="AK337">
        <v>0</v>
      </c>
      <c r="AL337">
        <v>0</v>
      </c>
      <c r="AM337">
        <v>0</v>
      </c>
      <c r="AN337">
        <v>0</v>
      </c>
      <c r="AO337">
        <v>0</v>
      </c>
      <c r="AP337">
        <v>0</v>
      </c>
    </row>
    <row r="338" spans="4:42" x14ac:dyDescent="0.45">
      <c r="D338">
        <v>2023</v>
      </c>
      <c r="E338">
        <v>12</v>
      </c>
      <c r="F338">
        <v>23567000</v>
      </c>
      <c r="G338">
        <v>2116664.2599999998</v>
      </c>
      <c r="H338">
        <v>1692086.91</v>
      </c>
      <c r="I338">
        <v>412288.18</v>
      </c>
      <c r="J338">
        <v>50383.85</v>
      </c>
      <c r="K338">
        <v>181</v>
      </c>
      <c r="L338">
        <v>12</v>
      </c>
      <c r="M338">
        <v>810</v>
      </c>
      <c r="N338">
        <v>5</v>
      </c>
      <c r="O338">
        <v>31</v>
      </c>
      <c r="P338">
        <v>281657.13</v>
      </c>
      <c r="Q338">
        <v>105.85</v>
      </c>
      <c r="R338">
        <v>110.54</v>
      </c>
      <c r="S338">
        <v>0</v>
      </c>
      <c r="T338">
        <v>0</v>
      </c>
      <c r="U338">
        <v>0</v>
      </c>
      <c r="V338">
        <v>0</v>
      </c>
      <c r="W338">
        <v>0</v>
      </c>
      <c r="X338">
        <v>0</v>
      </c>
      <c r="Y338">
        <v>0</v>
      </c>
      <c r="Z338">
        <v>0</v>
      </c>
      <c r="AA338">
        <v>0</v>
      </c>
      <c r="AB338">
        <v>0</v>
      </c>
      <c r="AC338">
        <v>1</v>
      </c>
      <c r="AD338">
        <v>0</v>
      </c>
      <c r="AE338">
        <v>0</v>
      </c>
      <c r="AF338">
        <v>1</v>
      </c>
      <c r="AG338">
        <v>0</v>
      </c>
      <c r="AH338">
        <v>0</v>
      </c>
      <c r="AI338">
        <v>0</v>
      </c>
      <c r="AJ338">
        <v>0</v>
      </c>
      <c r="AK338">
        <v>0</v>
      </c>
      <c r="AL338">
        <v>0</v>
      </c>
      <c r="AM338">
        <v>0</v>
      </c>
      <c r="AN338">
        <v>0</v>
      </c>
      <c r="AO338">
        <v>0</v>
      </c>
      <c r="AP338">
        <v>0</v>
      </c>
    </row>
    <row r="339" spans="4:42" x14ac:dyDescent="0.45">
      <c r="D339">
        <v>2023</v>
      </c>
      <c r="E339">
        <v>12</v>
      </c>
      <c r="F339">
        <v>8570000</v>
      </c>
      <c r="G339">
        <v>691457.75</v>
      </c>
      <c r="H339">
        <v>456638.43</v>
      </c>
      <c r="I339">
        <v>214280.92</v>
      </c>
      <c r="J339">
        <v>22636.28</v>
      </c>
      <c r="K339">
        <v>65</v>
      </c>
      <c r="L339">
        <v>6</v>
      </c>
      <c r="M339">
        <v>45</v>
      </c>
      <c r="N339">
        <v>1</v>
      </c>
      <c r="O339">
        <v>15</v>
      </c>
      <c r="P339">
        <v>34843.279999999999</v>
      </c>
      <c r="Q339">
        <v>102.66</v>
      </c>
      <c r="R339">
        <v>109.58</v>
      </c>
      <c r="S339">
        <v>0</v>
      </c>
      <c r="T339">
        <v>0</v>
      </c>
      <c r="U339">
        <v>0</v>
      </c>
      <c r="V339">
        <v>0</v>
      </c>
      <c r="W339">
        <v>0</v>
      </c>
      <c r="X339">
        <v>0</v>
      </c>
      <c r="Y339">
        <v>0</v>
      </c>
      <c r="Z339">
        <v>0</v>
      </c>
      <c r="AA339">
        <v>0</v>
      </c>
      <c r="AB339">
        <v>0</v>
      </c>
      <c r="AC339">
        <v>1</v>
      </c>
      <c r="AD339">
        <v>0</v>
      </c>
      <c r="AE339">
        <v>0</v>
      </c>
      <c r="AF339">
        <v>0</v>
      </c>
      <c r="AG339">
        <v>0</v>
      </c>
      <c r="AH339">
        <v>0</v>
      </c>
      <c r="AI339">
        <v>0</v>
      </c>
      <c r="AJ339">
        <v>0</v>
      </c>
      <c r="AK339">
        <v>1</v>
      </c>
      <c r="AL339">
        <v>0</v>
      </c>
      <c r="AM339">
        <v>0</v>
      </c>
      <c r="AN339">
        <v>0</v>
      </c>
      <c r="AO339">
        <v>0</v>
      </c>
      <c r="AP339">
        <v>0</v>
      </c>
    </row>
    <row r="340" spans="4:42" x14ac:dyDescent="0.45">
      <c r="D340">
        <v>2023</v>
      </c>
      <c r="E340">
        <v>12</v>
      </c>
      <c r="F340">
        <v>4499000</v>
      </c>
      <c r="G340">
        <v>395606.56</v>
      </c>
      <c r="H340">
        <v>329391.11</v>
      </c>
      <c r="I340">
        <v>64149.279999999999</v>
      </c>
      <c r="J340">
        <v>7073.21</v>
      </c>
      <c r="K340">
        <v>33</v>
      </c>
      <c r="L340">
        <v>0</v>
      </c>
      <c r="M340">
        <v>22</v>
      </c>
      <c r="N340">
        <v>2</v>
      </c>
      <c r="O340">
        <v>9</v>
      </c>
      <c r="P340">
        <v>17657.310000000001</v>
      </c>
      <c r="Q340">
        <v>99.44</v>
      </c>
      <c r="R340">
        <v>109.98</v>
      </c>
      <c r="S340">
        <v>0</v>
      </c>
      <c r="T340">
        <v>0</v>
      </c>
      <c r="U340">
        <v>0</v>
      </c>
      <c r="V340">
        <v>0</v>
      </c>
      <c r="W340">
        <v>0</v>
      </c>
      <c r="X340">
        <v>0</v>
      </c>
      <c r="Y340">
        <v>0</v>
      </c>
      <c r="Z340">
        <v>0</v>
      </c>
      <c r="AA340">
        <v>0</v>
      </c>
      <c r="AB340">
        <v>0</v>
      </c>
      <c r="AC340">
        <v>1</v>
      </c>
      <c r="AD340">
        <v>0</v>
      </c>
      <c r="AE340">
        <v>0</v>
      </c>
      <c r="AF340">
        <v>0</v>
      </c>
      <c r="AG340">
        <v>0</v>
      </c>
      <c r="AH340">
        <v>0</v>
      </c>
      <c r="AI340">
        <v>0</v>
      </c>
      <c r="AJ340">
        <v>0</v>
      </c>
      <c r="AK340">
        <v>0</v>
      </c>
      <c r="AL340">
        <v>1</v>
      </c>
      <c r="AM340">
        <v>0</v>
      </c>
      <c r="AN340">
        <v>0</v>
      </c>
      <c r="AO340">
        <v>0</v>
      </c>
      <c r="AP340">
        <v>0</v>
      </c>
    </row>
    <row r="341" spans="4:42" x14ac:dyDescent="0.45">
      <c r="D341">
        <v>2024</v>
      </c>
      <c r="E341">
        <v>1</v>
      </c>
      <c r="F341">
        <v>6874000</v>
      </c>
      <c r="G341">
        <v>583273.85</v>
      </c>
      <c r="H341">
        <v>294078.84000000003</v>
      </c>
      <c r="I341">
        <v>251067.24</v>
      </c>
      <c r="J341">
        <v>33038.35</v>
      </c>
      <c r="K341">
        <v>30</v>
      </c>
      <c r="L341">
        <v>6</v>
      </c>
      <c r="M341">
        <v>64</v>
      </c>
      <c r="N341">
        <v>4</v>
      </c>
      <c r="O341">
        <v>21</v>
      </c>
      <c r="P341">
        <v>70037.94</v>
      </c>
      <c r="Q341">
        <v>102.91</v>
      </c>
      <c r="R341">
        <v>111.52</v>
      </c>
      <c r="S341">
        <v>0</v>
      </c>
      <c r="T341">
        <v>0</v>
      </c>
      <c r="U341">
        <v>0</v>
      </c>
      <c r="V341">
        <v>0</v>
      </c>
      <c r="W341">
        <v>0</v>
      </c>
      <c r="X341">
        <v>0</v>
      </c>
      <c r="Y341">
        <v>0</v>
      </c>
      <c r="Z341">
        <v>0</v>
      </c>
      <c r="AA341">
        <v>0</v>
      </c>
      <c r="AB341">
        <v>0</v>
      </c>
      <c r="AC341">
        <v>0</v>
      </c>
      <c r="AD341">
        <v>0</v>
      </c>
      <c r="AE341">
        <v>0</v>
      </c>
      <c r="AF341">
        <v>0</v>
      </c>
      <c r="AG341">
        <v>0</v>
      </c>
      <c r="AH341">
        <v>1</v>
      </c>
      <c r="AI341">
        <v>0</v>
      </c>
      <c r="AJ341">
        <v>0</v>
      </c>
      <c r="AK341">
        <v>0</v>
      </c>
      <c r="AL341">
        <v>0</v>
      </c>
      <c r="AM341">
        <v>0</v>
      </c>
      <c r="AN341">
        <v>0</v>
      </c>
      <c r="AO341">
        <v>0</v>
      </c>
      <c r="AP341">
        <v>0</v>
      </c>
    </row>
    <row r="342" spans="4:42" x14ac:dyDescent="0.45">
      <c r="D342">
        <v>2024</v>
      </c>
      <c r="E342">
        <v>1</v>
      </c>
      <c r="F342">
        <v>14968000</v>
      </c>
      <c r="G342">
        <v>1240184.1100000001</v>
      </c>
      <c r="H342">
        <v>631408.47</v>
      </c>
      <c r="I342">
        <v>564338.66</v>
      </c>
      <c r="J342">
        <v>82238.11</v>
      </c>
      <c r="K342">
        <v>80</v>
      </c>
      <c r="L342">
        <v>1</v>
      </c>
      <c r="M342">
        <v>90</v>
      </c>
      <c r="N342">
        <v>5</v>
      </c>
      <c r="O342">
        <v>24</v>
      </c>
      <c r="P342">
        <v>144885.06</v>
      </c>
      <c r="Q342">
        <v>101.23</v>
      </c>
      <c r="R342">
        <v>111.24</v>
      </c>
      <c r="S342">
        <v>0</v>
      </c>
      <c r="T342">
        <v>0</v>
      </c>
      <c r="U342">
        <v>0</v>
      </c>
      <c r="V342">
        <v>0</v>
      </c>
      <c r="W342">
        <v>0</v>
      </c>
      <c r="X342">
        <v>0</v>
      </c>
      <c r="Y342">
        <v>0</v>
      </c>
      <c r="Z342">
        <v>0</v>
      </c>
      <c r="AA342">
        <v>0</v>
      </c>
      <c r="AB342">
        <v>0</v>
      </c>
      <c r="AC342">
        <v>0</v>
      </c>
      <c r="AD342">
        <v>0</v>
      </c>
      <c r="AE342">
        <v>0</v>
      </c>
      <c r="AF342">
        <v>0</v>
      </c>
      <c r="AG342">
        <v>0</v>
      </c>
      <c r="AH342">
        <v>0</v>
      </c>
      <c r="AI342">
        <v>0</v>
      </c>
      <c r="AJ342">
        <v>0</v>
      </c>
      <c r="AK342">
        <v>0</v>
      </c>
      <c r="AL342">
        <v>0</v>
      </c>
      <c r="AM342">
        <v>0</v>
      </c>
      <c r="AN342">
        <v>1</v>
      </c>
      <c r="AO342">
        <v>0</v>
      </c>
      <c r="AP342">
        <v>0</v>
      </c>
    </row>
    <row r="343" spans="4:42" x14ac:dyDescent="0.45">
      <c r="D343">
        <v>2024</v>
      </c>
      <c r="E343">
        <v>1</v>
      </c>
      <c r="F343">
        <v>5322000</v>
      </c>
      <c r="G343">
        <v>456694.74</v>
      </c>
      <c r="H343">
        <v>399691.72</v>
      </c>
      <c r="I343">
        <v>65775.92</v>
      </c>
      <c r="J343">
        <v>3846.72</v>
      </c>
      <c r="K343">
        <v>38</v>
      </c>
      <c r="L343">
        <v>3</v>
      </c>
      <c r="M343">
        <v>71</v>
      </c>
      <c r="N343">
        <v>1</v>
      </c>
      <c r="O343">
        <v>13</v>
      </c>
      <c r="P343">
        <v>26371.41</v>
      </c>
      <c r="Q343">
        <v>100.51</v>
      </c>
      <c r="R343">
        <v>110.53</v>
      </c>
      <c r="S343">
        <v>0</v>
      </c>
      <c r="T343">
        <v>0</v>
      </c>
      <c r="U343">
        <v>0</v>
      </c>
      <c r="V343">
        <v>0</v>
      </c>
      <c r="W343">
        <v>0</v>
      </c>
      <c r="X343">
        <v>0</v>
      </c>
      <c r="Y343">
        <v>0</v>
      </c>
      <c r="Z343">
        <v>0</v>
      </c>
      <c r="AA343">
        <v>0</v>
      </c>
      <c r="AB343">
        <v>0</v>
      </c>
      <c r="AC343">
        <v>0</v>
      </c>
      <c r="AD343">
        <v>1</v>
      </c>
      <c r="AE343">
        <v>0</v>
      </c>
      <c r="AF343">
        <v>0</v>
      </c>
      <c r="AG343">
        <v>0</v>
      </c>
      <c r="AH343">
        <v>0</v>
      </c>
      <c r="AI343">
        <v>0</v>
      </c>
      <c r="AJ343">
        <v>0</v>
      </c>
      <c r="AK343">
        <v>0</v>
      </c>
      <c r="AL343">
        <v>0</v>
      </c>
      <c r="AM343">
        <v>0</v>
      </c>
      <c r="AN343">
        <v>0</v>
      </c>
      <c r="AO343">
        <v>0</v>
      </c>
      <c r="AP343">
        <v>0</v>
      </c>
    </row>
    <row r="344" spans="4:42" x14ac:dyDescent="0.45">
      <c r="D344">
        <v>2024</v>
      </c>
      <c r="E344">
        <v>1</v>
      </c>
      <c r="F344">
        <v>8870000</v>
      </c>
      <c r="G344">
        <v>744513.92</v>
      </c>
      <c r="H344">
        <v>479244.87</v>
      </c>
      <c r="I344">
        <v>236989.05</v>
      </c>
      <c r="J344">
        <v>23334.29</v>
      </c>
      <c r="K344">
        <v>65</v>
      </c>
      <c r="L344">
        <v>6</v>
      </c>
      <c r="M344">
        <v>58</v>
      </c>
      <c r="N344">
        <v>2</v>
      </c>
      <c r="O344">
        <v>23</v>
      </c>
      <c r="P344">
        <v>64495.47</v>
      </c>
      <c r="Q344">
        <v>100.84</v>
      </c>
      <c r="R344">
        <v>110.08</v>
      </c>
      <c r="S344">
        <v>0</v>
      </c>
      <c r="T344">
        <v>0</v>
      </c>
      <c r="U344">
        <v>0</v>
      </c>
      <c r="V344">
        <v>0</v>
      </c>
      <c r="W344">
        <v>0</v>
      </c>
      <c r="X344">
        <v>0</v>
      </c>
      <c r="Y344">
        <v>0</v>
      </c>
      <c r="Z344">
        <v>0</v>
      </c>
      <c r="AA344">
        <v>0</v>
      </c>
      <c r="AB344">
        <v>0</v>
      </c>
      <c r="AC344">
        <v>0</v>
      </c>
      <c r="AD344">
        <v>0</v>
      </c>
      <c r="AE344">
        <v>0</v>
      </c>
      <c r="AF344">
        <v>0</v>
      </c>
      <c r="AG344">
        <v>0</v>
      </c>
      <c r="AH344">
        <v>0</v>
      </c>
      <c r="AI344">
        <v>0</v>
      </c>
      <c r="AJ344">
        <v>1</v>
      </c>
      <c r="AK344">
        <v>0</v>
      </c>
      <c r="AL344">
        <v>0</v>
      </c>
      <c r="AM344">
        <v>0</v>
      </c>
      <c r="AN344">
        <v>0</v>
      </c>
      <c r="AO344">
        <v>0</v>
      </c>
      <c r="AP344">
        <v>0</v>
      </c>
    </row>
    <row r="345" spans="4:42" x14ac:dyDescent="0.45">
      <c r="D345">
        <v>2024</v>
      </c>
      <c r="E345">
        <v>1</v>
      </c>
      <c r="F345">
        <v>4657000</v>
      </c>
      <c r="G345">
        <v>459648.64</v>
      </c>
      <c r="H345">
        <v>347083.21</v>
      </c>
      <c r="I345">
        <v>65208.11</v>
      </c>
      <c r="J345">
        <v>43960.27</v>
      </c>
      <c r="K345">
        <v>34</v>
      </c>
      <c r="L345">
        <v>4</v>
      </c>
      <c r="M345">
        <v>13</v>
      </c>
      <c r="N345">
        <v>0</v>
      </c>
      <c r="O345">
        <v>7</v>
      </c>
      <c r="P345">
        <v>5023.21</v>
      </c>
      <c r="Q345">
        <v>104.78</v>
      </c>
      <c r="R345">
        <v>110.55</v>
      </c>
      <c r="S345">
        <v>0</v>
      </c>
      <c r="T345">
        <v>0</v>
      </c>
      <c r="U345">
        <v>0</v>
      </c>
      <c r="V345">
        <v>0</v>
      </c>
      <c r="W345">
        <v>0</v>
      </c>
      <c r="X345">
        <v>0</v>
      </c>
      <c r="Y345">
        <v>0</v>
      </c>
      <c r="Z345">
        <v>0</v>
      </c>
      <c r="AA345">
        <v>0</v>
      </c>
      <c r="AB345">
        <v>0</v>
      </c>
      <c r="AC345">
        <v>0</v>
      </c>
      <c r="AD345">
        <v>0</v>
      </c>
      <c r="AE345">
        <v>0</v>
      </c>
      <c r="AF345">
        <v>0</v>
      </c>
      <c r="AG345">
        <v>0</v>
      </c>
      <c r="AH345">
        <v>0</v>
      </c>
      <c r="AI345">
        <v>0</v>
      </c>
      <c r="AJ345">
        <v>0</v>
      </c>
      <c r="AK345">
        <v>0</v>
      </c>
      <c r="AL345">
        <v>1</v>
      </c>
      <c r="AM345">
        <v>0</v>
      </c>
      <c r="AN345">
        <v>0</v>
      </c>
      <c r="AO345">
        <v>0</v>
      </c>
      <c r="AP345">
        <v>0</v>
      </c>
    </row>
    <row r="346" spans="4:42" x14ac:dyDescent="0.45">
      <c r="D346">
        <v>2024</v>
      </c>
      <c r="E346">
        <v>1</v>
      </c>
      <c r="F346">
        <v>21066000</v>
      </c>
      <c r="G346">
        <v>2375671.9500000002</v>
      </c>
      <c r="H346">
        <v>802953.71</v>
      </c>
      <c r="I346">
        <v>977439.64</v>
      </c>
      <c r="J346">
        <v>485414.15</v>
      </c>
      <c r="K346">
        <v>96</v>
      </c>
      <c r="L346">
        <v>9</v>
      </c>
      <c r="M346">
        <v>496</v>
      </c>
      <c r="N346">
        <v>5</v>
      </c>
      <c r="O346">
        <v>31</v>
      </c>
      <c r="P346">
        <v>248872.79</v>
      </c>
      <c r="Q346">
        <v>99.69</v>
      </c>
      <c r="R346">
        <v>110</v>
      </c>
      <c r="S346">
        <v>0</v>
      </c>
      <c r="T346">
        <v>0</v>
      </c>
      <c r="U346">
        <v>0</v>
      </c>
      <c r="V346">
        <v>0</v>
      </c>
      <c r="W346">
        <v>0</v>
      </c>
      <c r="X346">
        <v>0</v>
      </c>
      <c r="Y346">
        <v>0</v>
      </c>
      <c r="Z346">
        <v>0</v>
      </c>
      <c r="AA346">
        <v>0</v>
      </c>
      <c r="AB346">
        <v>0</v>
      </c>
      <c r="AC346">
        <v>0</v>
      </c>
      <c r="AD346">
        <v>0</v>
      </c>
      <c r="AE346">
        <v>0</v>
      </c>
      <c r="AF346">
        <v>0</v>
      </c>
      <c r="AG346">
        <v>0</v>
      </c>
      <c r="AH346">
        <v>0</v>
      </c>
      <c r="AI346">
        <v>0</v>
      </c>
      <c r="AJ346">
        <v>0</v>
      </c>
      <c r="AK346">
        <v>0</v>
      </c>
      <c r="AL346">
        <v>0</v>
      </c>
      <c r="AM346">
        <v>0</v>
      </c>
      <c r="AN346">
        <v>0</v>
      </c>
      <c r="AO346">
        <v>0</v>
      </c>
      <c r="AP346">
        <v>1</v>
      </c>
    </row>
    <row r="347" spans="4:42" x14ac:dyDescent="0.45">
      <c r="D347">
        <v>2024</v>
      </c>
      <c r="E347">
        <v>1</v>
      </c>
      <c r="F347">
        <v>3881000</v>
      </c>
      <c r="G347">
        <v>329548.95</v>
      </c>
      <c r="H347">
        <v>277878.34999999998</v>
      </c>
      <c r="I347">
        <v>45853.31</v>
      </c>
      <c r="J347">
        <v>4579.46</v>
      </c>
      <c r="K347">
        <v>28</v>
      </c>
      <c r="L347">
        <v>0</v>
      </c>
      <c r="M347">
        <v>13</v>
      </c>
      <c r="N347">
        <v>0</v>
      </c>
      <c r="O347">
        <v>6</v>
      </c>
      <c r="P347">
        <v>2932.58</v>
      </c>
      <c r="Q347">
        <v>102.2</v>
      </c>
      <c r="R347">
        <v>109.9</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c r="AL347">
        <v>0</v>
      </c>
      <c r="AM347">
        <v>0</v>
      </c>
      <c r="AN347">
        <v>0</v>
      </c>
      <c r="AO347">
        <v>0</v>
      </c>
      <c r="AP347">
        <v>0</v>
      </c>
    </row>
    <row r="348" spans="4:42" x14ac:dyDescent="0.45">
      <c r="D348">
        <v>2024</v>
      </c>
      <c r="E348">
        <v>1</v>
      </c>
      <c r="F348">
        <v>8094000</v>
      </c>
      <c r="G348">
        <v>795985.48</v>
      </c>
      <c r="H348">
        <v>377558.57</v>
      </c>
      <c r="I348">
        <v>282606.46000000002</v>
      </c>
      <c r="J348">
        <v>115687.12</v>
      </c>
      <c r="K348">
        <v>45</v>
      </c>
      <c r="L348">
        <v>1</v>
      </c>
      <c r="M348">
        <v>85</v>
      </c>
      <c r="N348">
        <v>4</v>
      </c>
      <c r="O348">
        <v>15</v>
      </c>
      <c r="P348">
        <v>93600.58</v>
      </c>
      <c r="Q348">
        <v>101.46</v>
      </c>
      <c r="R348">
        <v>110.41</v>
      </c>
      <c r="S348">
        <v>0</v>
      </c>
      <c r="T348">
        <v>0</v>
      </c>
      <c r="U348">
        <v>0</v>
      </c>
      <c r="V348">
        <v>0</v>
      </c>
      <c r="W348">
        <v>0</v>
      </c>
      <c r="X348">
        <v>0</v>
      </c>
      <c r="Y348">
        <v>0</v>
      </c>
      <c r="Z348">
        <v>0</v>
      </c>
      <c r="AA348">
        <v>0</v>
      </c>
      <c r="AB348">
        <v>0</v>
      </c>
      <c r="AC348">
        <v>0</v>
      </c>
      <c r="AD348">
        <v>0</v>
      </c>
      <c r="AE348">
        <v>0</v>
      </c>
      <c r="AF348">
        <v>0</v>
      </c>
      <c r="AG348">
        <v>1</v>
      </c>
      <c r="AH348">
        <v>0</v>
      </c>
      <c r="AI348">
        <v>0</v>
      </c>
      <c r="AJ348">
        <v>0</v>
      </c>
      <c r="AK348">
        <v>0</v>
      </c>
      <c r="AL348">
        <v>0</v>
      </c>
      <c r="AM348">
        <v>0</v>
      </c>
      <c r="AN348">
        <v>0</v>
      </c>
      <c r="AO348">
        <v>0</v>
      </c>
      <c r="AP348">
        <v>0</v>
      </c>
    </row>
    <row r="349" spans="4:42" x14ac:dyDescent="0.45">
      <c r="D349">
        <v>2024</v>
      </c>
      <c r="E349">
        <v>1</v>
      </c>
      <c r="F349">
        <v>24392000</v>
      </c>
      <c r="G349">
        <v>2125167.73</v>
      </c>
      <c r="H349">
        <v>1693335.87</v>
      </c>
      <c r="I349">
        <v>401087.5</v>
      </c>
      <c r="J349">
        <v>35377.19</v>
      </c>
      <c r="K349">
        <v>181</v>
      </c>
      <c r="L349">
        <v>16</v>
      </c>
      <c r="M349">
        <v>738</v>
      </c>
      <c r="N349">
        <v>9</v>
      </c>
      <c r="O349">
        <v>36</v>
      </c>
      <c r="P349">
        <v>566722.35</v>
      </c>
      <c r="Q349">
        <v>100.77</v>
      </c>
      <c r="R349">
        <v>110.42</v>
      </c>
      <c r="S349">
        <v>0</v>
      </c>
      <c r="T349">
        <v>0</v>
      </c>
      <c r="U349">
        <v>0</v>
      </c>
      <c r="V349">
        <v>0</v>
      </c>
      <c r="W349">
        <v>0</v>
      </c>
      <c r="X349">
        <v>0</v>
      </c>
      <c r="Y349">
        <v>0</v>
      </c>
      <c r="Z349">
        <v>0</v>
      </c>
      <c r="AA349">
        <v>0</v>
      </c>
      <c r="AB349">
        <v>0</v>
      </c>
      <c r="AC349">
        <v>0</v>
      </c>
      <c r="AD349">
        <v>0</v>
      </c>
      <c r="AE349">
        <v>0</v>
      </c>
      <c r="AF349">
        <v>1</v>
      </c>
      <c r="AG349">
        <v>0</v>
      </c>
      <c r="AH349">
        <v>0</v>
      </c>
      <c r="AI349">
        <v>0</v>
      </c>
      <c r="AJ349">
        <v>0</v>
      </c>
      <c r="AK349">
        <v>0</v>
      </c>
      <c r="AL349">
        <v>0</v>
      </c>
      <c r="AM349">
        <v>0</v>
      </c>
      <c r="AN349">
        <v>0</v>
      </c>
      <c r="AO349">
        <v>0</v>
      </c>
      <c r="AP349">
        <v>0</v>
      </c>
    </row>
    <row r="350" spans="4:42" x14ac:dyDescent="0.45">
      <c r="D350">
        <v>2024</v>
      </c>
      <c r="E350">
        <v>1</v>
      </c>
      <c r="F350">
        <v>27718000</v>
      </c>
      <c r="G350">
        <v>2335809.67</v>
      </c>
      <c r="H350">
        <v>1787206.39</v>
      </c>
      <c r="I350">
        <v>498735.96</v>
      </c>
      <c r="J350">
        <v>83233.66</v>
      </c>
      <c r="K350">
        <v>208</v>
      </c>
      <c r="L350">
        <v>17</v>
      </c>
      <c r="M350">
        <v>796</v>
      </c>
      <c r="N350">
        <v>10</v>
      </c>
      <c r="O350">
        <v>39</v>
      </c>
      <c r="P350">
        <v>744941.43</v>
      </c>
      <c r="Q350">
        <v>100.76</v>
      </c>
      <c r="R350">
        <v>109.88</v>
      </c>
      <c r="S350">
        <v>0</v>
      </c>
      <c r="T350">
        <v>0</v>
      </c>
      <c r="U350">
        <v>0</v>
      </c>
      <c r="V350">
        <v>0</v>
      </c>
      <c r="W350">
        <v>0</v>
      </c>
      <c r="X350">
        <v>0</v>
      </c>
      <c r="Y350">
        <v>0</v>
      </c>
      <c r="Z350">
        <v>0</v>
      </c>
      <c r="AA350">
        <v>0</v>
      </c>
      <c r="AB350">
        <v>0</v>
      </c>
      <c r="AC350">
        <v>0</v>
      </c>
      <c r="AD350">
        <v>0</v>
      </c>
      <c r="AE350">
        <v>0</v>
      </c>
      <c r="AF350">
        <v>0</v>
      </c>
      <c r="AG350">
        <v>0</v>
      </c>
      <c r="AH350">
        <v>0</v>
      </c>
      <c r="AI350">
        <v>0</v>
      </c>
      <c r="AJ350">
        <v>0</v>
      </c>
      <c r="AK350">
        <v>0</v>
      </c>
      <c r="AL350">
        <v>0</v>
      </c>
      <c r="AM350">
        <v>1</v>
      </c>
      <c r="AN350">
        <v>0</v>
      </c>
      <c r="AO350">
        <v>0</v>
      </c>
      <c r="AP350">
        <v>0</v>
      </c>
    </row>
    <row r="351" spans="4:42" x14ac:dyDescent="0.45">
      <c r="D351">
        <v>2024</v>
      </c>
      <c r="E351">
        <v>2</v>
      </c>
      <c r="F351">
        <v>24392000</v>
      </c>
      <c r="G351">
        <v>2226058.23</v>
      </c>
      <c r="H351">
        <v>1625756.56</v>
      </c>
      <c r="I351">
        <v>450124.15</v>
      </c>
      <c r="J351">
        <v>290771.3</v>
      </c>
      <c r="K351">
        <v>181</v>
      </c>
      <c r="L351">
        <v>14</v>
      </c>
      <c r="M351">
        <v>677</v>
      </c>
      <c r="N351">
        <v>7</v>
      </c>
      <c r="O351">
        <v>30</v>
      </c>
      <c r="P351">
        <v>532698.46</v>
      </c>
      <c r="Q351">
        <v>103.73</v>
      </c>
      <c r="R351">
        <v>110.57</v>
      </c>
      <c r="S351">
        <v>0</v>
      </c>
      <c r="T351">
        <v>0</v>
      </c>
      <c r="U351">
        <v>0</v>
      </c>
      <c r="V351">
        <v>0</v>
      </c>
      <c r="W351">
        <v>0</v>
      </c>
      <c r="X351">
        <v>0</v>
      </c>
      <c r="Y351">
        <v>0</v>
      </c>
      <c r="Z351">
        <v>0</v>
      </c>
      <c r="AA351">
        <v>0</v>
      </c>
      <c r="AB351">
        <v>1</v>
      </c>
      <c r="AC351">
        <v>0</v>
      </c>
      <c r="AD351">
        <v>0</v>
      </c>
      <c r="AE351">
        <v>0</v>
      </c>
      <c r="AF351">
        <v>1</v>
      </c>
      <c r="AG351">
        <v>0</v>
      </c>
      <c r="AH351">
        <v>0</v>
      </c>
      <c r="AI351">
        <v>0</v>
      </c>
      <c r="AJ351">
        <v>0</v>
      </c>
      <c r="AK351">
        <v>0</v>
      </c>
      <c r="AL351">
        <v>0</v>
      </c>
      <c r="AM351">
        <v>0</v>
      </c>
      <c r="AN351">
        <v>0</v>
      </c>
      <c r="AO351">
        <v>0</v>
      </c>
      <c r="AP351">
        <v>0</v>
      </c>
    </row>
    <row r="352" spans="4:42" x14ac:dyDescent="0.45">
      <c r="D352">
        <v>2024</v>
      </c>
      <c r="E352">
        <v>2</v>
      </c>
      <c r="F352">
        <v>14968000</v>
      </c>
      <c r="G352">
        <v>1515774.07</v>
      </c>
      <c r="H352">
        <v>622883.73</v>
      </c>
      <c r="I352">
        <v>632230.71</v>
      </c>
      <c r="J352">
        <v>271619.96999999997</v>
      </c>
      <c r="K352">
        <v>79</v>
      </c>
      <c r="L352">
        <v>5</v>
      </c>
      <c r="M352">
        <v>118</v>
      </c>
      <c r="N352">
        <v>6</v>
      </c>
      <c r="O352">
        <v>28</v>
      </c>
      <c r="P352">
        <v>191299.84</v>
      </c>
      <c r="Q352">
        <v>99.21</v>
      </c>
      <c r="R352">
        <v>110.81</v>
      </c>
      <c r="S352">
        <v>0</v>
      </c>
      <c r="T352">
        <v>0</v>
      </c>
      <c r="U352">
        <v>0</v>
      </c>
      <c r="V352">
        <v>0</v>
      </c>
      <c r="W352">
        <v>0</v>
      </c>
      <c r="X352">
        <v>0</v>
      </c>
      <c r="Y352">
        <v>0</v>
      </c>
      <c r="Z352">
        <v>0</v>
      </c>
      <c r="AA352">
        <v>0</v>
      </c>
      <c r="AB352">
        <v>1</v>
      </c>
      <c r="AC352">
        <v>0</v>
      </c>
      <c r="AD352">
        <v>0</v>
      </c>
      <c r="AE352">
        <v>0</v>
      </c>
      <c r="AF352">
        <v>0</v>
      </c>
      <c r="AG352">
        <v>0</v>
      </c>
      <c r="AH352">
        <v>0</v>
      </c>
      <c r="AI352">
        <v>0</v>
      </c>
      <c r="AJ352">
        <v>0</v>
      </c>
      <c r="AK352">
        <v>0</v>
      </c>
      <c r="AL352">
        <v>0</v>
      </c>
      <c r="AM352">
        <v>0</v>
      </c>
      <c r="AN352">
        <v>1</v>
      </c>
      <c r="AO352">
        <v>0</v>
      </c>
      <c r="AP352">
        <v>0</v>
      </c>
    </row>
    <row r="353" spans="4:42" x14ac:dyDescent="0.45">
      <c r="D353">
        <v>2024</v>
      </c>
      <c r="E353">
        <v>2</v>
      </c>
      <c r="F353">
        <v>27718000</v>
      </c>
      <c r="G353">
        <v>2427503.1800000002</v>
      </c>
      <c r="H353">
        <v>1903251.79</v>
      </c>
      <c r="I353">
        <v>526274.4</v>
      </c>
      <c r="J353">
        <v>44512.55</v>
      </c>
      <c r="K353">
        <v>214</v>
      </c>
      <c r="L353">
        <v>14</v>
      </c>
      <c r="M353">
        <v>970</v>
      </c>
      <c r="N353">
        <v>8</v>
      </c>
      <c r="O353">
        <v>37</v>
      </c>
      <c r="P353">
        <v>656120.07999999996</v>
      </c>
      <c r="Q353">
        <v>100.57</v>
      </c>
      <c r="R353">
        <v>110.3</v>
      </c>
      <c r="S353">
        <v>0</v>
      </c>
      <c r="T353">
        <v>0</v>
      </c>
      <c r="U353">
        <v>0</v>
      </c>
      <c r="V353">
        <v>0</v>
      </c>
      <c r="W353">
        <v>0</v>
      </c>
      <c r="X353">
        <v>0</v>
      </c>
      <c r="Y353">
        <v>0</v>
      </c>
      <c r="Z353">
        <v>0</v>
      </c>
      <c r="AA353">
        <v>0</v>
      </c>
      <c r="AB353">
        <v>1</v>
      </c>
      <c r="AC353">
        <v>0</v>
      </c>
      <c r="AD353">
        <v>0</v>
      </c>
      <c r="AE353">
        <v>0</v>
      </c>
      <c r="AF353">
        <v>0</v>
      </c>
      <c r="AG353">
        <v>0</v>
      </c>
      <c r="AH353">
        <v>0</v>
      </c>
      <c r="AI353">
        <v>0</v>
      </c>
      <c r="AJ353">
        <v>0</v>
      </c>
      <c r="AK353">
        <v>0</v>
      </c>
      <c r="AL353">
        <v>0</v>
      </c>
      <c r="AM353">
        <v>1</v>
      </c>
      <c r="AN353">
        <v>0</v>
      </c>
      <c r="AO353">
        <v>0</v>
      </c>
      <c r="AP353">
        <v>0</v>
      </c>
    </row>
    <row r="354" spans="4:42" x14ac:dyDescent="0.45">
      <c r="D354">
        <v>2024</v>
      </c>
      <c r="E354">
        <v>2</v>
      </c>
      <c r="F354">
        <v>8870000</v>
      </c>
      <c r="G354">
        <v>770574.09</v>
      </c>
      <c r="H354">
        <v>472039.38</v>
      </c>
      <c r="I354">
        <v>272539.59999999998</v>
      </c>
      <c r="J354">
        <v>35367.22</v>
      </c>
      <c r="K354">
        <v>63</v>
      </c>
      <c r="L354">
        <v>3</v>
      </c>
      <c r="M354">
        <v>129</v>
      </c>
      <c r="N354">
        <v>3</v>
      </c>
      <c r="O354">
        <v>21</v>
      </c>
      <c r="P354">
        <v>78352.740000000005</v>
      </c>
      <c r="Q354">
        <v>100.39</v>
      </c>
      <c r="R354">
        <v>109.87</v>
      </c>
      <c r="S354">
        <v>0</v>
      </c>
      <c r="T354">
        <v>0</v>
      </c>
      <c r="U354">
        <v>0</v>
      </c>
      <c r="V354">
        <v>0</v>
      </c>
      <c r="W354">
        <v>0</v>
      </c>
      <c r="X354">
        <v>0</v>
      </c>
      <c r="Y354">
        <v>0</v>
      </c>
      <c r="Z354">
        <v>0</v>
      </c>
      <c r="AA354">
        <v>0</v>
      </c>
      <c r="AB354">
        <v>1</v>
      </c>
      <c r="AC354">
        <v>0</v>
      </c>
      <c r="AD354">
        <v>0</v>
      </c>
      <c r="AE354">
        <v>0</v>
      </c>
      <c r="AF354">
        <v>0</v>
      </c>
      <c r="AG354">
        <v>0</v>
      </c>
      <c r="AH354">
        <v>0</v>
      </c>
      <c r="AI354">
        <v>0</v>
      </c>
      <c r="AJ354">
        <v>1</v>
      </c>
      <c r="AK354">
        <v>0</v>
      </c>
      <c r="AL354">
        <v>0</v>
      </c>
      <c r="AM354">
        <v>0</v>
      </c>
      <c r="AN354">
        <v>0</v>
      </c>
      <c r="AO354">
        <v>0</v>
      </c>
      <c r="AP354">
        <v>0</v>
      </c>
    </row>
    <row r="355" spans="4:42" x14ac:dyDescent="0.45">
      <c r="D355">
        <v>2024</v>
      </c>
      <c r="E355">
        <v>2</v>
      </c>
      <c r="F355">
        <v>3881000</v>
      </c>
      <c r="G355">
        <v>373396.85</v>
      </c>
      <c r="H355">
        <v>284694.28999999998</v>
      </c>
      <c r="I355">
        <v>50176.44</v>
      </c>
      <c r="J355">
        <v>32929.96</v>
      </c>
      <c r="K355">
        <v>28</v>
      </c>
      <c r="L355">
        <v>2</v>
      </c>
      <c r="M355">
        <v>40</v>
      </c>
      <c r="N355">
        <v>0</v>
      </c>
      <c r="O355">
        <v>12</v>
      </c>
      <c r="P355">
        <v>5636.41</v>
      </c>
      <c r="Q355">
        <v>100.13</v>
      </c>
      <c r="R355">
        <v>111.11</v>
      </c>
      <c r="S355">
        <v>0</v>
      </c>
      <c r="T355">
        <v>0</v>
      </c>
      <c r="U355">
        <v>0</v>
      </c>
      <c r="V355">
        <v>0</v>
      </c>
      <c r="W355">
        <v>0</v>
      </c>
      <c r="X355">
        <v>0</v>
      </c>
      <c r="Y355">
        <v>0</v>
      </c>
      <c r="Z355">
        <v>0</v>
      </c>
      <c r="AA355">
        <v>0</v>
      </c>
      <c r="AB355">
        <v>1</v>
      </c>
      <c r="AC355">
        <v>0</v>
      </c>
      <c r="AD355">
        <v>0</v>
      </c>
      <c r="AE355">
        <v>0</v>
      </c>
      <c r="AF355">
        <v>0</v>
      </c>
      <c r="AG355">
        <v>0</v>
      </c>
      <c r="AH355">
        <v>0</v>
      </c>
      <c r="AI355">
        <v>0</v>
      </c>
      <c r="AJ355">
        <v>0</v>
      </c>
      <c r="AK355">
        <v>0</v>
      </c>
      <c r="AL355">
        <v>0</v>
      </c>
      <c r="AM355">
        <v>0</v>
      </c>
      <c r="AN355">
        <v>0</v>
      </c>
      <c r="AO355">
        <v>0</v>
      </c>
      <c r="AP355">
        <v>0</v>
      </c>
    </row>
    <row r="356" spans="4:42" x14ac:dyDescent="0.45">
      <c r="D356">
        <v>2024</v>
      </c>
      <c r="E356">
        <v>2</v>
      </c>
      <c r="F356">
        <v>5322000</v>
      </c>
      <c r="G356">
        <v>445730.72</v>
      </c>
      <c r="H356">
        <v>367551.56</v>
      </c>
      <c r="I356">
        <v>73191.759999999995</v>
      </c>
      <c r="J356">
        <v>6084.01</v>
      </c>
      <c r="K356">
        <v>36</v>
      </c>
      <c r="L356">
        <v>0</v>
      </c>
      <c r="M356">
        <v>41</v>
      </c>
      <c r="N356">
        <v>2</v>
      </c>
      <c r="O356">
        <v>9</v>
      </c>
      <c r="P356">
        <v>18855.52</v>
      </c>
      <c r="Q356">
        <v>98.81</v>
      </c>
      <c r="R356">
        <v>109.68</v>
      </c>
      <c r="S356">
        <v>0</v>
      </c>
      <c r="T356">
        <v>0</v>
      </c>
      <c r="U356">
        <v>0</v>
      </c>
      <c r="V356">
        <v>0</v>
      </c>
      <c r="W356">
        <v>0</v>
      </c>
      <c r="X356">
        <v>0</v>
      </c>
      <c r="Y356">
        <v>0</v>
      </c>
      <c r="Z356">
        <v>0</v>
      </c>
      <c r="AA356">
        <v>0</v>
      </c>
      <c r="AB356">
        <v>1</v>
      </c>
      <c r="AC356">
        <v>0</v>
      </c>
      <c r="AD356">
        <v>1</v>
      </c>
      <c r="AE356">
        <v>0</v>
      </c>
      <c r="AF356">
        <v>0</v>
      </c>
      <c r="AG356">
        <v>0</v>
      </c>
      <c r="AH356">
        <v>0</v>
      </c>
      <c r="AI356">
        <v>0</v>
      </c>
      <c r="AJ356">
        <v>0</v>
      </c>
      <c r="AK356">
        <v>0</v>
      </c>
      <c r="AL356">
        <v>0</v>
      </c>
      <c r="AM356">
        <v>0</v>
      </c>
      <c r="AN356">
        <v>0</v>
      </c>
      <c r="AO356">
        <v>0</v>
      </c>
      <c r="AP356">
        <v>0</v>
      </c>
    </row>
    <row r="357" spans="4:42" x14ac:dyDescent="0.45">
      <c r="D357">
        <v>2024</v>
      </c>
      <c r="E357">
        <v>2</v>
      </c>
      <c r="F357">
        <v>8094000</v>
      </c>
      <c r="G357">
        <v>663063.84</v>
      </c>
      <c r="H357">
        <v>353305.03</v>
      </c>
      <c r="I357">
        <v>301923.93</v>
      </c>
      <c r="J357">
        <v>26150.86</v>
      </c>
      <c r="K357">
        <v>44</v>
      </c>
      <c r="L357">
        <v>3</v>
      </c>
      <c r="M357">
        <v>0</v>
      </c>
      <c r="N357">
        <v>1</v>
      </c>
      <c r="O357">
        <v>17</v>
      </c>
      <c r="P357">
        <v>30134.23</v>
      </c>
      <c r="Q357">
        <v>103.41</v>
      </c>
      <c r="R357">
        <v>111.04</v>
      </c>
      <c r="S357">
        <v>0</v>
      </c>
      <c r="T357">
        <v>0</v>
      </c>
      <c r="U357">
        <v>0</v>
      </c>
      <c r="V357">
        <v>0</v>
      </c>
      <c r="W357">
        <v>0</v>
      </c>
      <c r="X357">
        <v>0</v>
      </c>
      <c r="Y357">
        <v>0</v>
      </c>
      <c r="Z357">
        <v>0</v>
      </c>
      <c r="AA357">
        <v>0</v>
      </c>
      <c r="AB357">
        <v>1</v>
      </c>
      <c r="AC357">
        <v>0</v>
      </c>
      <c r="AD357">
        <v>0</v>
      </c>
      <c r="AE357">
        <v>0</v>
      </c>
      <c r="AF357">
        <v>0</v>
      </c>
      <c r="AG357">
        <v>1</v>
      </c>
      <c r="AH357">
        <v>0</v>
      </c>
      <c r="AI357">
        <v>0</v>
      </c>
      <c r="AJ357">
        <v>0</v>
      </c>
      <c r="AK357">
        <v>0</v>
      </c>
      <c r="AL357">
        <v>0</v>
      </c>
      <c r="AM357">
        <v>0</v>
      </c>
      <c r="AN357">
        <v>0</v>
      </c>
      <c r="AO357">
        <v>0</v>
      </c>
      <c r="AP357">
        <v>0</v>
      </c>
    </row>
    <row r="358" spans="4:42" x14ac:dyDescent="0.45">
      <c r="D358">
        <v>2024</v>
      </c>
      <c r="E358">
        <v>2</v>
      </c>
      <c r="F358">
        <v>21066000</v>
      </c>
      <c r="G358">
        <v>1678435.67</v>
      </c>
      <c r="H358">
        <v>783902.14</v>
      </c>
      <c r="I358">
        <v>755834.88</v>
      </c>
      <c r="J358">
        <v>109085.17</v>
      </c>
      <c r="K358">
        <v>92</v>
      </c>
      <c r="L358">
        <v>4</v>
      </c>
      <c r="M358">
        <v>447</v>
      </c>
      <c r="N358">
        <v>6</v>
      </c>
      <c r="O358">
        <v>28</v>
      </c>
      <c r="P358">
        <v>264173.18</v>
      </c>
      <c r="Q358">
        <v>102.05</v>
      </c>
      <c r="R358">
        <v>110.23</v>
      </c>
      <c r="S358">
        <v>0</v>
      </c>
      <c r="T358">
        <v>0</v>
      </c>
      <c r="U358">
        <v>0</v>
      </c>
      <c r="V358">
        <v>0</v>
      </c>
      <c r="W358">
        <v>0</v>
      </c>
      <c r="X358">
        <v>0</v>
      </c>
      <c r="Y358">
        <v>0</v>
      </c>
      <c r="Z358">
        <v>0</v>
      </c>
      <c r="AA358">
        <v>0</v>
      </c>
      <c r="AB358">
        <v>1</v>
      </c>
      <c r="AC358">
        <v>0</v>
      </c>
      <c r="AD358">
        <v>0</v>
      </c>
      <c r="AE358">
        <v>0</v>
      </c>
      <c r="AF358">
        <v>0</v>
      </c>
      <c r="AG358">
        <v>0</v>
      </c>
      <c r="AH358">
        <v>0</v>
      </c>
      <c r="AI358">
        <v>0</v>
      </c>
      <c r="AJ358">
        <v>0</v>
      </c>
      <c r="AK358">
        <v>0</v>
      </c>
      <c r="AL358">
        <v>0</v>
      </c>
      <c r="AM358">
        <v>0</v>
      </c>
      <c r="AN358">
        <v>0</v>
      </c>
      <c r="AO358">
        <v>0</v>
      </c>
      <c r="AP358">
        <v>1</v>
      </c>
    </row>
    <row r="359" spans="4:42" x14ac:dyDescent="0.45">
      <c r="D359">
        <v>2024</v>
      </c>
      <c r="E359">
        <v>2</v>
      </c>
      <c r="F359">
        <v>6874000</v>
      </c>
      <c r="G359">
        <v>607386.64</v>
      </c>
      <c r="H359">
        <v>299411.63</v>
      </c>
      <c r="I359">
        <v>276577.53999999998</v>
      </c>
      <c r="J359">
        <v>21702.23</v>
      </c>
      <c r="K359">
        <v>31</v>
      </c>
      <c r="L359">
        <v>2</v>
      </c>
      <c r="M359">
        <v>56</v>
      </c>
      <c r="N359">
        <v>1</v>
      </c>
      <c r="O359">
        <v>7</v>
      </c>
      <c r="P359">
        <v>19457.2</v>
      </c>
      <c r="Q359">
        <v>104.67</v>
      </c>
      <c r="R359">
        <v>110.24</v>
      </c>
      <c r="S359">
        <v>0</v>
      </c>
      <c r="T359">
        <v>0</v>
      </c>
      <c r="U359">
        <v>0</v>
      </c>
      <c r="V359">
        <v>0</v>
      </c>
      <c r="W359">
        <v>0</v>
      </c>
      <c r="X359">
        <v>0</v>
      </c>
      <c r="Y359">
        <v>0</v>
      </c>
      <c r="Z359">
        <v>0</v>
      </c>
      <c r="AA359">
        <v>0</v>
      </c>
      <c r="AB359">
        <v>1</v>
      </c>
      <c r="AC359">
        <v>0</v>
      </c>
      <c r="AD359">
        <v>0</v>
      </c>
      <c r="AE359">
        <v>0</v>
      </c>
      <c r="AF359">
        <v>0</v>
      </c>
      <c r="AG359">
        <v>0</v>
      </c>
      <c r="AH359">
        <v>1</v>
      </c>
      <c r="AI359">
        <v>0</v>
      </c>
      <c r="AJ359">
        <v>0</v>
      </c>
      <c r="AK359">
        <v>0</v>
      </c>
      <c r="AL359">
        <v>0</v>
      </c>
      <c r="AM359">
        <v>0</v>
      </c>
      <c r="AN359">
        <v>0</v>
      </c>
      <c r="AO359">
        <v>0</v>
      </c>
      <c r="AP359">
        <v>0</v>
      </c>
    </row>
    <row r="360" spans="4:42" x14ac:dyDescent="0.45">
      <c r="D360">
        <v>2024</v>
      </c>
      <c r="E360">
        <v>2</v>
      </c>
      <c r="F360">
        <v>4657000</v>
      </c>
      <c r="G360">
        <v>389092.75</v>
      </c>
      <c r="H360">
        <v>320483.83</v>
      </c>
      <c r="I360">
        <v>65737.19</v>
      </c>
      <c r="J360">
        <v>7943.49</v>
      </c>
      <c r="K360">
        <v>33</v>
      </c>
      <c r="L360">
        <v>2</v>
      </c>
      <c r="M360">
        <v>45</v>
      </c>
      <c r="N360">
        <v>2</v>
      </c>
      <c r="O360">
        <v>10</v>
      </c>
      <c r="P360">
        <v>23139.99</v>
      </c>
      <c r="Q360">
        <v>100</v>
      </c>
      <c r="R360">
        <v>109.94</v>
      </c>
      <c r="S360">
        <v>0</v>
      </c>
      <c r="T360">
        <v>0</v>
      </c>
      <c r="U360">
        <v>0</v>
      </c>
      <c r="V360">
        <v>0</v>
      </c>
      <c r="W360">
        <v>0</v>
      </c>
      <c r="X360">
        <v>0</v>
      </c>
      <c r="Y360">
        <v>0</v>
      </c>
      <c r="Z360">
        <v>0</v>
      </c>
      <c r="AA360">
        <v>0</v>
      </c>
      <c r="AB360">
        <v>1</v>
      </c>
      <c r="AC360">
        <v>0</v>
      </c>
      <c r="AD360">
        <v>0</v>
      </c>
      <c r="AE360">
        <v>0</v>
      </c>
      <c r="AF360">
        <v>0</v>
      </c>
      <c r="AG360">
        <v>0</v>
      </c>
      <c r="AH360">
        <v>0</v>
      </c>
      <c r="AI360">
        <v>0</v>
      </c>
      <c r="AJ360">
        <v>0</v>
      </c>
      <c r="AK360">
        <v>0</v>
      </c>
      <c r="AL360">
        <v>1</v>
      </c>
      <c r="AM360">
        <v>0</v>
      </c>
      <c r="AN360">
        <v>0</v>
      </c>
      <c r="AO360">
        <v>0</v>
      </c>
      <c r="AP360">
        <v>0</v>
      </c>
    </row>
    <row r="361" spans="4:42" x14ac:dyDescent="0.45">
      <c r="D361">
        <v>2024</v>
      </c>
      <c r="E361">
        <v>3</v>
      </c>
      <c r="F361">
        <v>8870000</v>
      </c>
      <c r="G361">
        <v>762062.26</v>
      </c>
      <c r="H361">
        <v>488321.72</v>
      </c>
      <c r="I361">
        <v>262589.65999999997</v>
      </c>
      <c r="J361">
        <v>15552.43</v>
      </c>
      <c r="K361">
        <v>66</v>
      </c>
      <c r="L361">
        <v>7</v>
      </c>
      <c r="M361">
        <v>94</v>
      </c>
      <c r="N361">
        <v>4</v>
      </c>
      <c r="O361">
        <v>19</v>
      </c>
      <c r="P361">
        <v>174335</v>
      </c>
      <c r="Q361">
        <v>101.58</v>
      </c>
      <c r="R361">
        <v>110.92</v>
      </c>
      <c r="S361">
        <v>0</v>
      </c>
      <c r="T361">
        <v>0</v>
      </c>
      <c r="U361">
        <v>1</v>
      </c>
      <c r="V361">
        <v>0</v>
      </c>
      <c r="W361">
        <v>0</v>
      </c>
      <c r="X361">
        <v>0</v>
      </c>
      <c r="Y361">
        <v>0</v>
      </c>
      <c r="Z361">
        <v>0</v>
      </c>
      <c r="AA361">
        <v>0</v>
      </c>
      <c r="AB361">
        <v>0</v>
      </c>
      <c r="AC361">
        <v>0</v>
      </c>
      <c r="AD361">
        <v>0</v>
      </c>
      <c r="AE361">
        <v>0</v>
      </c>
      <c r="AF361">
        <v>0</v>
      </c>
      <c r="AG361">
        <v>0</v>
      </c>
      <c r="AH361">
        <v>0</v>
      </c>
      <c r="AI361">
        <v>0</v>
      </c>
      <c r="AJ361">
        <v>1</v>
      </c>
      <c r="AK361">
        <v>0</v>
      </c>
      <c r="AL361">
        <v>0</v>
      </c>
      <c r="AM361">
        <v>0</v>
      </c>
      <c r="AN361">
        <v>0</v>
      </c>
      <c r="AO361">
        <v>0</v>
      </c>
      <c r="AP361">
        <v>0</v>
      </c>
    </row>
    <row r="362" spans="4:42" x14ac:dyDescent="0.45">
      <c r="D362">
        <v>2024</v>
      </c>
      <c r="E362">
        <v>3</v>
      </c>
      <c r="F362">
        <v>14968000</v>
      </c>
      <c r="G362">
        <v>1172133.6399999999</v>
      </c>
      <c r="H362">
        <v>610620.24</v>
      </c>
      <c r="I362">
        <v>498216.66</v>
      </c>
      <c r="J362">
        <v>91726.79</v>
      </c>
      <c r="K362">
        <v>79</v>
      </c>
      <c r="L362">
        <v>6</v>
      </c>
      <c r="M362">
        <v>138</v>
      </c>
      <c r="N362">
        <v>6</v>
      </c>
      <c r="O362">
        <v>24</v>
      </c>
      <c r="P362">
        <v>212218.82</v>
      </c>
      <c r="Q362">
        <v>100.46</v>
      </c>
      <c r="R362">
        <v>111.49</v>
      </c>
      <c r="S362">
        <v>0</v>
      </c>
      <c r="T362">
        <v>0</v>
      </c>
      <c r="U362">
        <v>1</v>
      </c>
      <c r="V362">
        <v>0</v>
      </c>
      <c r="W362">
        <v>0</v>
      </c>
      <c r="X362">
        <v>0</v>
      </c>
      <c r="Y362">
        <v>0</v>
      </c>
      <c r="Z362">
        <v>0</v>
      </c>
      <c r="AA362">
        <v>0</v>
      </c>
      <c r="AB362">
        <v>0</v>
      </c>
      <c r="AC362">
        <v>0</v>
      </c>
      <c r="AD362">
        <v>0</v>
      </c>
      <c r="AE362">
        <v>0</v>
      </c>
      <c r="AF362">
        <v>0</v>
      </c>
      <c r="AG362">
        <v>0</v>
      </c>
      <c r="AH362">
        <v>0</v>
      </c>
      <c r="AI362">
        <v>0</v>
      </c>
      <c r="AJ362">
        <v>0</v>
      </c>
      <c r="AK362">
        <v>0</v>
      </c>
      <c r="AL362">
        <v>0</v>
      </c>
      <c r="AM362">
        <v>0</v>
      </c>
      <c r="AN362">
        <v>1</v>
      </c>
      <c r="AO362">
        <v>0</v>
      </c>
      <c r="AP362">
        <v>0</v>
      </c>
    </row>
    <row r="363" spans="4:42" x14ac:dyDescent="0.45">
      <c r="D363">
        <v>2024</v>
      </c>
      <c r="E363">
        <v>3</v>
      </c>
      <c r="F363">
        <v>24392000</v>
      </c>
      <c r="G363">
        <v>2339036.21</v>
      </c>
      <c r="H363">
        <v>1780143.01</v>
      </c>
      <c r="I363">
        <v>536115.89</v>
      </c>
      <c r="J363">
        <v>67011.94</v>
      </c>
      <c r="K363">
        <v>188</v>
      </c>
      <c r="L363">
        <v>12</v>
      </c>
      <c r="M363">
        <v>756</v>
      </c>
      <c r="N363">
        <v>10</v>
      </c>
      <c r="O363">
        <v>38</v>
      </c>
      <c r="P363">
        <v>665383.78</v>
      </c>
      <c r="Q363">
        <v>100.76</v>
      </c>
      <c r="R363">
        <v>110.73</v>
      </c>
      <c r="S363">
        <v>0</v>
      </c>
      <c r="T363">
        <v>0</v>
      </c>
      <c r="U363">
        <v>1</v>
      </c>
      <c r="V363">
        <v>0</v>
      </c>
      <c r="W363">
        <v>0</v>
      </c>
      <c r="X363">
        <v>0</v>
      </c>
      <c r="Y363">
        <v>0</v>
      </c>
      <c r="Z363">
        <v>0</v>
      </c>
      <c r="AA363">
        <v>0</v>
      </c>
      <c r="AB363">
        <v>0</v>
      </c>
      <c r="AC363">
        <v>0</v>
      </c>
      <c r="AD363">
        <v>0</v>
      </c>
      <c r="AE363">
        <v>0</v>
      </c>
      <c r="AF363">
        <v>1</v>
      </c>
      <c r="AG363">
        <v>0</v>
      </c>
      <c r="AH363">
        <v>0</v>
      </c>
      <c r="AI363">
        <v>0</v>
      </c>
      <c r="AJ363">
        <v>0</v>
      </c>
      <c r="AK363">
        <v>0</v>
      </c>
      <c r="AL363">
        <v>0</v>
      </c>
      <c r="AM363">
        <v>0</v>
      </c>
      <c r="AN363">
        <v>0</v>
      </c>
      <c r="AO363">
        <v>0</v>
      </c>
      <c r="AP363">
        <v>0</v>
      </c>
    </row>
    <row r="364" spans="4:42" x14ac:dyDescent="0.45">
      <c r="D364">
        <v>2024</v>
      </c>
      <c r="E364">
        <v>3</v>
      </c>
      <c r="F364">
        <v>27718000</v>
      </c>
      <c r="G364">
        <v>2508794.5</v>
      </c>
      <c r="H364">
        <v>1719465.23</v>
      </c>
      <c r="I364">
        <v>667655.91</v>
      </c>
      <c r="J364">
        <v>85933.82</v>
      </c>
      <c r="K364">
        <v>203</v>
      </c>
      <c r="L364">
        <v>15</v>
      </c>
      <c r="M364">
        <v>997</v>
      </c>
      <c r="N364">
        <v>11</v>
      </c>
      <c r="O364">
        <v>41</v>
      </c>
      <c r="P364">
        <v>916651.44</v>
      </c>
      <c r="Q364">
        <v>100.62</v>
      </c>
      <c r="R364">
        <v>110.83</v>
      </c>
      <c r="S364">
        <v>0</v>
      </c>
      <c r="T364">
        <v>0</v>
      </c>
      <c r="U364">
        <v>1</v>
      </c>
      <c r="V364">
        <v>0</v>
      </c>
      <c r="W364">
        <v>0</v>
      </c>
      <c r="X364">
        <v>0</v>
      </c>
      <c r="Y364">
        <v>0</v>
      </c>
      <c r="Z364">
        <v>0</v>
      </c>
      <c r="AA364">
        <v>0</v>
      </c>
      <c r="AB364">
        <v>0</v>
      </c>
      <c r="AC364">
        <v>0</v>
      </c>
      <c r="AD364">
        <v>0</v>
      </c>
      <c r="AE364">
        <v>0</v>
      </c>
      <c r="AF364">
        <v>0</v>
      </c>
      <c r="AG364">
        <v>0</v>
      </c>
      <c r="AH364">
        <v>0</v>
      </c>
      <c r="AI364">
        <v>0</v>
      </c>
      <c r="AJ364">
        <v>0</v>
      </c>
      <c r="AK364">
        <v>0</v>
      </c>
      <c r="AL364">
        <v>0</v>
      </c>
      <c r="AM364">
        <v>1</v>
      </c>
      <c r="AN364">
        <v>0</v>
      </c>
      <c r="AO364">
        <v>0</v>
      </c>
      <c r="AP364">
        <v>0</v>
      </c>
    </row>
    <row r="365" spans="4:42" x14ac:dyDescent="0.45">
      <c r="D365">
        <v>2024</v>
      </c>
      <c r="E365">
        <v>3</v>
      </c>
      <c r="F365">
        <v>8094000</v>
      </c>
      <c r="G365">
        <v>643988.80000000005</v>
      </c>
      <c r="H365">
        <v>335711.5</v>
      </c>
      <c r="I365">
        <v>318388.94</v>
      </c>
      <c r="J365">
        <v>16976.68</v>
      </c>
      <c r="K365">
        <v>43</v>
      </c>
      <c r="L365">
        <v>3</v>
      </c>
      <c r="M365">
        <v>55</v>
      </c>
      <c r="N365">
        <v>3</v>
      </c>
      <c r="O365">
        <v>13</v>
      </c>
      <c r="P365">
        <v>77025.48</v>
      </c>
      <c r="Q365">
        <v>99.53</v>
      </c>
      <c r="R365">
        <v>110.67</v>
      </c>
      <c r="S365">
        <v>0</v>
      </c>
      <c r="T365">
        <v>0</v>
      </c>
      <c r="U365">
        <v>1</v>
      </c>
      <c r="V365">
        <v>0</v>
      </c>
      <c r="W365">
        <v>0</v>
      </c>
      <c r="X365">
        <v>0</v>
      </c>
      <c r="Y365">
        <v>0</v>
      </c>
      <c r="Z365">
        <v>0</v>
      </c>
      <c r="AA365">
        <v>0</v>
      </c>
      <c r="AB365">
        <v>0</v>
      </c>
      <c r="AC365">
        <v>0</v>
      </c>
      <c r="AD365">
        <v>0</v>
      </c>
      <c r="AE365">
        <v>0</v>
      </c>
      <c r="AF365">
        <v>0</v>
      </c>
      <c r="AG365">
        <v>1</v>
      </c>
      <c r="AH365">
        <v>0</v>
      </c>
      <c r="AI365">
        <v>0</v>
      </c>
      <c r="AJ365">
        <v>0</v>
      </c>
      <c r="AK365">
        <v>0</v>
      </c>
      <c r="AL365">
        <v>0</v>
      </c>
      <c r="AM365">
        <v>0</v>
      </c>
      <c r="AN365">
        <v>0</v>
      </c>
      <c r="AO365">
        <v>0</v>
      </c>
      <c r="AP365">
        <v>0</v>
      </c>
    </row>
    <row r="366" spans="4:42" x14ac:dyDescent="0.45">
      <c r="D366">
        <v>2024</v>
      </c>
      <c r="E366">
        <v>3</v>
      </c>
      <c r="F366">
        <v>4657000</v>
      </c>
      <c r="G366">
        <v>410925.18</v>
      </c>
      <c r="H366">
        <v>328782.78999999998</v>
      </c>
      <c r="I366">
        <v>74620.98</v>
      </c>
      <c r="J366">
        <v>10050.84</v>
      </c>
      <c r="K366">
        <v>32</v>
      </c>
      <c r="L366">
        <v>3</v>
      </c>
      <c r="M366">
        <v>56</v>
      </c>
      <c r="N366">
        <v>2</v>
      </c>
      <c r="O366">
        <v>13</v>
      </c>
      <c r="P366">
        <v>20079.599999999999</v>
      </c>
      <c r="Q366">
        <v>103.31</v>
      </c>
      <c r="R366">
        <v>110.75</v>
      </c>
      <c r="S366">
        <v>0</v>
      </c>
      <c r="T366">
        <v>0</v>
      </c>
      <c r="U366">
        <v>1</v>
      </c>
      <c r="V366">
        <v>0</v>
      </c>
      <c r="W366">
        <v>0</v>
      </c>
      <c r="X366">
        <v>0</v>
      </c>
      <c r="Y366">
        <v>0</v>
      </c>
      <c r="Z366">
        <v>0</v>
      </c>
      <c r="AA366">
        <v>0</v>
      </c>
      <c r="AB366">
        <v>0</v>
      </c>
      <c r="AC366">
        <v>0</v>
      </c>
      <c r="AD366">
        <v>0</v>
      </c>
      <c r="AE366">
        <v>0</v>
      </c>
      <c r="AF366">
        <v>0</v>
      </c>
      <c r="AG366">
        <v>0</v>
      </c>
      <c r="AH366">
        <v>0</v>
      </c>
      <c r="AI366">
        <v>0</v>
      </c>
      <c r="AJ366">
        <v>0</v>
      </c>
      <c r="AK366">
        <v>0</v>
      </c>
      <c r="AL366">
        <v>1</v>
      </c>
      <c r="AM366">
        <v>0</v>
      </c>
      <c r="AN366">
        <v>0</v>
      </c>
      <c r="AO366">
        <v>0</v>
      </c>
      <c r="AP366">
        <v>0</v>
      </c>
    </row>
    <row r="367" spans="4:42" x14ac:dyDescent="0.45">
      <c r="D367">
        <v>2024</v>
      </c>
      <c r="E367">
        <v>3</v>
      </c>
      <c r="F367">
        <v>3881000</v>
      </c>
      <c r="G367">
        <v>347645.67</v>
      </c>
      <c r="H367">
        <v>289433.90999999997</v>
      </c>
      <c r="I367">
        <v>55185.2</v>
      </c>
      <c r="J367">
        <v>4643.79</v>
      </c>
      <c r="K367">
        <v>28</v>
      </c>
      <c r="L367">
        <v>1</v>
      </c>
      <c r="M367">
        <v>18</v>
      </c>
      <c r="N367">
        <v>0</v>
      </c>
      <c r="O367">
        <v>5</v>
      </c>
      <c r="P367">
        <v>3185.7</v>
      </c>
      <c r="Q367">
        <v>101.09</v>
      </c>
      <c r="R367">
        <v>110.69</v>
      </c>
      <c r="S367">
        <v>0</v>
      </c>
      <c r="T367">
        <v>0</v>
      </c>
      <c r="U367">
        <v>1</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row>
    <row r="368" spans="4:42" x14ac:dyDescent="0.45">
      <c r="D368">
        <v>2024</v>
      </c>
      <c r="E368">
        <v>3</v>
      </c>
      <c r="F368">
        <v>6874000</v>
      </c>
      <c r="G368">
        <v>560347.13</v>
      </c>
      <c r="H368">
        <v>283496.43</v>
      </c>
      <c r="I368">
        <v>279278.78999999998</v>
      </c>
      <c r="J368">
        <v>18057.96</v>
      </c>
      <c r="K368">
        <v>31</v>
      </c>
      <c r="L368">
        <v>0</v>
      </c>
      <c r="M368">
        <v>44</v>
      </c>
      <c r="N368">
        <v>1</v>
      </c>
      <c r="O368">
        <v>13</v>
      </c>
      <c r="P368">
        <v>18517.09</v>
      </c>
      <c r="Q368">
        <v>102.05</v>
      </c>
      <c r="R368">
        <v>110.67</v>
      </c>
      <c r="S368">
        <v>0</v>
      </c>
      <c r="T368">
        <v>0</v>
      </c>
      <c r="U368">
        <v>1</v>
      </c>
      <c r="V368">
        <v>0</v>
      </c>
      <c r="W368">
        <v>0</v>
      </c>
      <c r="X368">
        <v>0</v>
      </c>
      <c r="Y368">
        <v>0</v>
      </c>
      <c r="Z368">
        <v>0</v>
      </c>
      <c r="AA368">
        <v>0</v>
      </c>
      <c r="AB368">
        <v>0</v>
      </c>
      <c r="AC368">
        <v>0</v>
      </c>
      <c r="AD368">
        <v>0</v>
      </c>
      <c r="AE368">
        <v>0</v>
      </c>
      <c r="AF368">
        <v>0</v>
      </c>
      <c r="AG368">
        <v>0</v>
      </c>
      <c r="AH368">
        <v>1</v>
      </c>
      <c r="AI368">
        <v>0</v>
      </c>
      <c r="AJ368">
        <v>0</v>
      </c>
      <c r="AK368">
        <v>0</v>
      </c>
      <c r="AL368">
        <v>0</v>
      </c>
      <c r="AM368">
        <v>0</v>
      </c>
      <c r="AN368">
        <v>0</v>
      </c>
      <c r="AO368">
        <v>0</v>
      </c>
      <c r="AP368">
        <v>0</v>
      </c>
    </row>
    <row r="369" spans="4:42" x14ac:dyDescent="0.45">
      <c r="D369">
        <v>2024</v>
      </c>
      <c r="E369">
        <v>3</v>
      </c>
      <c r="F369">
        <v>5322000</v>
      </c>
      <c r="G369">
        <v>489170.32</v>
      </c>
      <c r="H369">
        <v>386082.78</v>
      </c>
      <c r="I369">
        <v>82243.55</v>
      </c>
      <c r="J369">
        <v>9139.09</v>
      </c>
      <c r="K369">
        <v>37</v>
      </c>
      <c r="L369">
        <v>3</v>
      </c>
      <c r="M369">
        <v>44</v>
      </c>
      <c r="N369">
        <v>0</v>
      </c>
      <c r="O369">
        <v>15</v>
      </c>
      <c r="P369">
        <v>10164.129999999999</v>
      </c>
      <c r="Q369">
        <v>99.6</v>
      </c>
      <c r="R369">
        <v>110.13</v>
      </c>
      <c r="S369">
        <v>0</v>
      </c>
      <c r="T369">
        <v>0</v>
      </c>
      <c r="U369">
        <v>1</v>
      </c>
      <c r="V369">
        <v>0</v>
      </c>
      <c r="W369">
        <v>0</v>
      </c>
      <c r="X369">
        <v>0</v>
      </c>
      <c r="Y369">
        <v>0</v>
      </c>
      <c r="Z369">
        <v>0</v>
      </c>
      <c r="AA369">
        <v>0</v>
      </c>
      <c r="AB369">
        <v>0</v>
      </c>
      <c r="AC369">
        <v>0</v>
      </c>
      <c r="AD369">
        <v>1</v>
      </c>
      <c r="AE369">
        <v>0</v>
      </c>
      <c r="AF369">
        <v>0</v>
      </c>
      <c r="AG369">
        <v>0</v>
      </c>
      <c r="AH369">
        <v>0</v>
      </c>
      <c r="AI369">
        <v>0</v>
      </c>
      <c r="AJ369">
        <v>0</v>
      </c>
      <c r="AK369">
        <v>0</v>
      </c>
      <c r="AL369">
        <v>0</v>
      </c>
      <c r="AM369">
        <v>0</v>
      </c>
      <c r="AN369">
        <v>0</v>
      </c>
      <c r="AO369">
        <v>0</v>
      </c>
      <c r="AP369">
        <v>0</v>
      </c>
    </row>
    <row r="370" spans="4:42" x14ac:dyDescent="0.45">
      <c r="D370">
        <v>2024</v>
      </c>
      <c r="E370">
        <v>3</v>
      </c>
      <c r="F370">
        <v>21066000</v>
      </c>
      <c r="G370">
        <v>2400708.29</v>
      </c>
      <c r="H370">
        <v>847805.96</v>
      </c>
      <c r="I370">
        <v>1150748.6000000001</v>
      </c>
      <c r="J370">
        <v>469213.92</v>
      </c>
      <c r="K370">
        <v>94</v>
      </c>
      <c r="L370">
        <v>6</v>
      </c>
      <c r="M370">
        <v>437</v>
      </c>
      <c r="N370">
        <v>9</v>
      </c>
      <c r="O370">
        <v>35</v>
      </c>
      <c r="P370">
        <v>415625.55</v>
      </c>
      <c r="Q370">
        <v>102.47</v>
      </c>
      <c r="R370">
        <v>110.86</v>
      </c>
      <c r="S370">
        <v>0</v>
      </c>
      <c r="T370">
        <v>0</v>
      </c>
      <c r="U370">
        <v>1</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1</v>
      </c>
    </row>
    <row r="371" spans="4:42" x14ac:dyDescent="0.45">
      <c r="D371">
        <v>2024</v>
      </c>
      <c r="E371">
        <v>4</v>
      </c>
      <c r="F371">
        <v>8094000</v>
      </c>
      <c r="G371">
        <v>616172.23</v>
      </c>
      <c r="H371">
        <v>348951.85</v>
      </c>
      <c r="I371">
        <v>260910.94</v>
      </c>
      <c r="J371">
        <v>21216.46</v>
      </c>
      <c r="K371">
        <v>44</v>
      </c>
      <c r="L371">
        <v>3</v>
      </c>
      <c r="M371">
        <v>97</v>
      </c>
      <c r="N371">
        <v>2</v>
      </c>
      <c r="O371">
        <v>21</v>
      </c>
      <c r="P371">
        <v>65120.43</v>
      </c>
      <c r="Q371">
        <v>103.07</v>
      </c>
      <c r="R371">
        <v>110.82</v>
      </c>
      <c r="S371">
        <v>0</v>
      </c>
      <c r="T371">
        <v>0</v>
      </c>
      <c r="U371">
        <v>0</v>
      </c>
      <c r="V371">
        <v>0</v>
      </c>
      <c r="W371">
        <v>1</v>
      </c>
      <c r="X371">
        <v>0</v>
      </c>
      <c r="Y371">
        <v>0</v>
      </c>
      <c r="Z371">
        <v>0</v>
      </c>
      <c r="AA371">
        <v>0</v>
      </c>
      <c r="AB371">
        <v>0</v>
      </c>
      <c r="AC371">
        <v>0</v>
      </c>
      <c r="AD371">
        <v>0</v>
      </c>
      <c r="AE371">
        <v>0</v>
      </c>
      <c r="AF371">
        <v>0</v>
      </c>
      <c r="AG371">
        <v>1</v>
      </c>
      <c r="AH371">
        <v>0</v>
      </c>
      <c r="AI371">
        <v>0</v>
      </c>
      <c r="AJ371">
        <v>0</v>
      </c>
      <c r="AK371">
        <v>0</v>
      </c>
      <c r="AL371">
        <v>0</v>
      </c>
      <c r="AM371">
        <v>0</v>
      </c>
      <c r="AN371">
        <v>0</v>
      </c>
      <c r="AO371">
        <v>0</v>
      </c>
      <c r="AP371">
        <v>0</v>
      </c>
    </row>
    <row r="372" spans="4:42" x14ac:dyDescent="0.45">
      <c r="D372">
        <v>2024</v>
      </c>
      <c r="E372">
        <v>4</v>
      </c>
      <c r="F372">
        <v>4657000</v>
      </c>
      <c r="G372">
        <v>402284.82</v>
      </c>
      <c r="H372">
        <v>326882.96999999997</v>
      </c>
      <c r="I372">
        <v>58526.1</v>
      </c>
      <c r="J372">
        <v>10251.48</v>
      </c>
      <c r="K372">
        <v>33</v>
      </c>
      <c r="L372">
        <v>2</v>
      </c>
      <c r="M372">
        <v>47</v>
      </c>
      <c r="N372">
        <v>1</v>
      </c>
      <c r="O372">
        <v>9</v>
      </c>
      <c r="P372">
        <v>14423.26</v>
      </c>
      <c r="Q372">
        <v>99.3</v>
      </c>
      <c r="R372">
        <v>110.84</v>
      </c>
      <c r="S372">
        <v>0</v>
      </c>
      <c r="T372">
        <v>0</v>
      </c>
      <c r="U372">
        <v>0</v>
      </c>
      <c r="V372">
        <v>0</v>
      </c>
      <c r="W372">
        <v>1</v>
      </c>
      <c r="X372">
        <v>0</v>
      </c>
      <c r="Y372">
        <v>0</v>
      </c>
      <c r="Z372">
        <v>0</v>
      </c>
      <c r="AA372">
        <v>0</v>
      </c>
      <c r="AB372">
        <v>0</v>
      </c>
      <c r="AC372">
        <v>0</v>
      </c>
      <c r="AD372">
        <v>0</v>
      </c>
      <c r="AE372">
        <v>0</v>
      </c>
      <c r="AF372">
        <v>0</v>
      </c>
      <c r="AG372">
        <v>0</v>
      </c>
      <c r="AH372">
        <v>0</v>
      </c>
      <c r="AI372">
        <v>0</v>
      </c>
      <c r="AJ372">
        <v>0</v>
      </c>
      <c r="AK372">
        <v>0</v>
      </c>
      <c r="AL372">
        <v>1</v>
      </c>
      <c r="AM372">
        <v>0</v>
      </c>
      <c r="AN372">
        <v>0</v>
      </c>
      <c r="AO372">
        <v>0</v>
      </c>
      <c r="AP372">
        <v>0</v>
      </c>
    </row>
    <row r="373" spans="4:42" x14ac:dyDescent="0.45">
      <c r="D373">
        <v>2024</v>
      </c>
      <c r="E373">
        <v>4</v>
      </c>
      <c r="F373">
        <v>24392000</v>
      </c>
      <c r="G373">
        <v>1994780.53</v>
      </c>
      <c r="H373">
        <v>1688217.42</v>
      </c>
      <c r="I373">
        <v>429028.83</v>
      </c>
      <c r="J373">
        <v>44847.59</v>
      </c>
      <c r="K373">
        <v>182</v>
      </c>
      <c r="L373">
        <v>14</v>
      </c>
      <c r="M373">
        <v>605</v>
      </c>
      <c r="N373">
        <v>4</v>
      </c>
      <c r="O373">
        <v>26</v>
      </c>
      <c r="P373">
        <v>329701.46999999997</v>
      </c>
      <c r="Q373">
        <v>103.68</v>
      </c>
      <c r="R373">
        <v>111.05</v>
      </c>
      <c r="S373">
        <v>0</v>
      </c>
      <c r="T373">
        <v>0</v>
      </c>
      <c r="U373">
        <v>0</v>
      </c>
      <c r="V373">
        <v>0</v>
      </c>
      <c r="W373">
        <v>1</v>
      </c>
      <c r="X373">
        <v>0</v>
      </c>
      <c r="Y373">
        <v>0</v>
      </c>
      <c r="Z373">
        <v>0</v>
      </c>
      <c r="AA373">
        <v>0</v>
      </c>
      <c r="AB373">
        <v>0</v>
      </c>
      <c r="AC373">
        <v>0</v>
      </c>
      <c r="AD373">
        <v>0</v>
      </c>
      <c r="AE373">
        <v>0</v>
      </c>
      <c r="AF373">
        <v>1</v>
      </c>
      <c r="AG373">
        <v>0</v>
      </c>
      <c r="AH373">
        <v>0</v>
      </c>
      <c r="AI373">
        <v>0</v>
      </c>
      <c r="AJ373">
        <v>0</v>
      </c>
      <c r="AK373">
        <v>0</v>
      </c>
      <c r="AL373">
        <v>0</v>
      </c>
      <c r="AM373">
        <v>0</v>
      </c>
      <c r="AN373">
        <v>0</v>
      </c>
      <c r="AO373">
        <v>0</v>
      </c>
      <c r="AP373">
        <v>0</v>
      </c>
    </row>
    <row r="374" spans="4:42" x14ac:dyDescent="0.45">
      <c r="D374">
        <v>2024</v>
      </c>
      <c r="E374">
        <v>4</v>
      </c>
      <c r="F374">
        <v>5322000</v>
      </c>
      <c r="G374">
        <v>460847.16</v>
      </c>
      <c r="H374">
        <v>397500.8</v>
      </c>
      <c r="I374">
        <v>60034.51</v>
      </c>
      <c r="J374">
        <v>4472.53</v>
      </c>
      <c r="K374">
        <v>39</v>
      </c>
      <c r="L374">
        <v>4</v>
      </c>
      <c r="M374">
        <v>78</v>
      </c>
      <c r="N374">
        <v>4</v>
      </c>
      <c r="O374">
        <v>15</v>
      </c>
      <c r="P374">
        <v>55648.85</v>
      </c>
      <c r="Q374">
        <v>101.58</v>
      </c>
      <c r="R374">
        <v>111.3</v>
      </c>
      <c r="S374">
        <v>0</v>
      </c>
      <c r="T374">
        <v>0</v>
      </c>
      <c r="U374">
        <v>0</v>
      </c>
      <c r="V374">
        <v>0</v>
      </c>
      <c r="W374">
        <v>1</v>
      </c>
      <c r="X374">
        <v>0</v>
      </c>
      <c r="Y374">
        <v>0</v>
      </c>
      <c r="Z374">
        <v>0</v>
      </c>
      <c r="AA374">
        <v>0</v>
      </c>
      <c r="AB374">
        <v>0</v>
      </c>
      <c r="AC374">
        <v>0</v>
      </c>
      <c r="AD374">
        <v>1</v>
      </c>
      <c r="AE374">
        <v>0</v>
      </c>
      <c r="AF374">
        <v>0</v>
      </c>
      <c r="AG374">
        <v>0</v>
      </c>
      <c r="AH374">
        <v>0</v>
      </c>
      <c r="AI374">
        <v>0</v>
      </c>
      <c r="AJ374">
        <v>0</v>
      </c>
      <c r="AK374">
        <v>0</v>
      </c>
      <c r="AL374">
        <v>0</v>
      </c>
      <c r="AM374">
        <v>0</v>
      </c>
      <c r="AN374">
        <v>0</v>
      </c>
      <c r="AO374">
        <v>0</v>
      </c>
      <c r="AP374">
        <v>0</v>
      </c>
    </row>
    <row r="375" spans="4:42" x14ac:dyDescent="0.45">
      <c r="D375">
        <v>2024</v>
      </c>
      <c r="E375">
        <v>4</v>
      </c>
      <c r="F375">
        <v>6874000</v>
      </c>
      <c r="G375">
        <v>534775.79</v>
      </c>
      <c r="H375">
        <v>297468.59999999998</v>
      </c>
      <c r="I375">
        <v>210201.49</v>
      </c>
      <c r="J375">
        <v>27365.01</v>
      </c>
      <c r="K375">
        <v>32</v>
      </c>
      <c r="L375">
        <v>1</v>
      </c>
      <c r="M375">
        <v>36</v>
      </c>
      <c r="N375">
        <v>3</v>
      </c>
      <c r="O375">
        <v>13</v>
      </c>
      <c r="P375">
        <v>36034.83</v>
      </c>
      <c r="Q375">
        <v>99.87</v>
      </c>
      <c r="R375">
        <v>111.03</v>
      </c>
      <c r="S375">
        <v>0</v>
      </c>
      <c r="T375">
        <v>0</v>
      </c>
      <c r="U375">
        <v>0</v>
      </c>
      <c r="V375">
        <v>0</v>
      </c>
      <c r="W375">
        <v>1</v>
      </c>
      <c r="X375">
        <v>0</v>
      </c>
      <c r="Y375">
        <v>0</v>
      </c>
      <c r="Z375">
        <v>0</v>
      </c>
      <c r="AA375">
        <v>0</v>
      </c>
      <c r="AB375">
        <v>0</v>
      </c>
      <c r="AC375">
        <v>0</v>
      </c>
      <c r="AD375">
        <v>0</v>
      </c>
      <c r="AE375">
        <v>0</v>
      </c>
      <c r="AF375">
        <v>0</v>
      </c>
      <c r="AG375">
        <v>0</v>
      </c>
      <c r="AH375">
        <v>1</v>
      </c>
      <c r="AI375">
        <v>0</v>
      </c>
      <c r="AJ375">
        <v>0</v>
      </c>
      <c r="AK375">
        <v>0</v>
      </c>
      <c r="AL375">
        <v>0</v>
      </c>
      <c r="AM375">
        <v>0</v>
      </c>
      <c r="AN375">
        <v>0</v>
      </c>
      <c r="AO375">
        <v>0</v>
      </c>
      <c r="AP375">
        <v>0</v>
      </c>
    </row>
    <row r="376" spans="4:42" x14ac:dyDescent="0.45">
      <c r="D376">
        <v>2024</v>
      </c>
      <c r="E376">
        <v>4</v>
      </c>
      <c r="F376">
        <v>8870000</v>
      </c>
      <c r="G376">
        <v>752996.57</v>
      </c>
      <c r="H376">
        <v>506398.22</v>
      </c>
      <c r="I376">
        <v>209758.51</v>
      </c>
      <c r="J376">
        <v>39986.199999999997</v>
      </c>
      <c r="K376">
        <v>68</v>
      </c>
      <c r="L376">
        <v>7</v>
      </c>
      <c r="M376">
        <v>59</v>
      </c>
      <c r="N376">
        <v>3</v>
      </c>
      <c r="O376">
        <v>15</v>
      </c>
      <c r="P376">
        <v>67526.53</v>
      </c>
      <c r="Q376">
        <v>100.05</v>
      </c>
      <c r="R376">
        <v>110.4</v>
      </c>
      <c r="S376">
        <v>0</v>
      </c>
      <c r="T376">
        <v>0</v>
      </c>
      <c r="U376">
        <v>0</v>
      </c>
      <c r="V376">
        <v>0</v>
      </c>
      <c r="W376">
        <v>1</v>
      </c>
      <c r="X376">
        <v>0</v>
      </c>
      <c r="Y376">
        <v>0</v>
      </c>
      <c r="Z376">
        <v>0</v>
      </c>
      <c r="AA376">
        <v>0</v>
      </c>
      <c r="AB376">
        <v>0</v>
      </c>
      <c r="AC376">
        <v>0</v>
      </c>
      <c r="AD376">
        <v>0</v>
      </c>
      <c r="AE376">
        <v>0</v>
      </c>
      <c r="AF376">
        <v>0</v>
      </c>
      <c r="AG376">
        <v>0</v>
      </c>
      <c r="AH376">
        <v>0</v>
      </c>
      <c r="AI376">
        <v>0</v>
      </c>
      <c r="AJ376">
        <v>1</v>
      </c>
      <c r="AK376">
        <v>0</v>
      </c>
      <c r="AL376">
        <v>0</v>
      </c>
      <c r="AM376">
        <v>0</v>
      </c>
      <c r="AN376">
        <v>0</v>
      </c>
      <c r="AO376">
        <v>0</v>
      </c>
      <c r="AP376">
        <v>0</v>
      </c>
    </row>
    <row r="377" spans="4:42" x14ac:dyDescent="0.45">
      <c r="D377">
        <v>2024</v>
      </c>
      <c r="E377">
        <v>4</v>
      </c>
      <c r="F377">
        <v>3881000</v>
      </c>
      <c r="G377">
        <v>347077.72</v>
      </c>
      <c r="H377">
        <v>304163.02</v>
      </c>
      <c r="I377">
        <v>38646.71</v>
      </c>
      <c r="J377">
        <v>5640.24</v>
      </c>
      <c r="K377">
        <v>29</v>
      </c>
      <c r="L377">
        <v>4</v>
      </c>
      <c r="M377">
        <v>51</v>
      </c>
      <c r="N377">
        <v>1</v>
      </c>
      <c r="O377">
        <v>11</v>
      </c>
      <c r="P377">
        <v>14662.3</v>
      </c>
      <c r="Q377">
        <v>99.6</v>
      </c>
      <c r="R377">
        <v>110.55</v>
      </c>
      <c r="S377">
        <v>0</v>
      </c>
      <c r="T377">
        <v>0</v>
      </c>
      <c r="U377">
        <v>0</v>
      </c>
      <c r="V377">
        <v>0</v>
      </c>
      <c r="W377">
        <v>1</v>
      </c>
      <c r="X377">
        <v>0</v>
      </c>
      <c r="Y377">
        <v>0</v>
      </c>
      <c r="Z377">
        <v>0</v>
      </c>
      <c r="AA377">
        <v>0</v>
      </c>
      <c r="AB377">
        <v>0</v>
      </c>
      <c r="AC377">
        <v>0</v>
      </c>
      <c r="AD377">
        <v>0</v>
      </c>
      <c r="AE377">
        <v>0</v>
      </c>
      <c r="AF377">
        <v>0</v>
      </c>
      <c r="AG377">
        <v>0</v>
      </c>
      <c r="AH377">
        <v>0</v>
      </c>
      <c r="AI377">
        <v>0</v>
      </c>
      <c r="AJ377">
        <v>0</v>
      </c>
      <c r="AK377">
        <v>0</v>
      </c>
      <c r="AL377">
        <v>0</v>
      </c>
      <c r="AM377">
        <v>0</v>
      </c>
      <c r="AN377">
        <v>0</v>
      </c>
      <c r="AO377">
        <v>0</v>
      </c>
      <c r="AP377">
        <v>0</v>
      </c>
    </row>
    <row r="378" spans="4:42" x14ac:dyDescent="0.45">
      <c r="D378">
        <v>2024</v>
      </c>
      <c r="E378">
        <v>4</v>
      </c>
      <c r="F378">
        <v>21066000</v>
      </c>
      <c r="G378">
        <v>1519835.05</v>
      </c>
      <c r="H378">
        <v>811307.53</v>
      </c>
      <c r="I378">
        <v>634553.86</v>
      </c>
      <c r="J378">
        <v>83297.19</v>
      </c>
      <c r="K378">
        <v>97</v>
      </c>
      <c r="L378">
        <v>6</v>
      </c>
      <c r="M378">
        <v>382</v>
      </c>
      <c r="N378">
        <v>4</v>
      </c>
      <c r="O378">
        <v>24</v>
      </c>
      <c r="P378">
        <v>261224.79</v>
      </c>
      <c r="Q378">
        <v>98.27</v>
      </c>
      <c r="R378">
        <v>111.05</v>
      </c>
      <c r="S378">
        <v>0</v>
      </c>
      <c r="T378">
        <v>0</v>
      </c>
      <c r="U378">
        <v>0</v>
      </c>
      <c r="V378">
        <v>0</v>
      </c>
      <c r="W378">
        <v>1</v>
      </c>
      <c r="X378">
        <v>0</v>
      </c>
      <c r="Y378">
        <v>0</v>
      </c>
      <c r="Z378">
        <v>0</v>
      </c>
      <c r="AA378">
        <v>0</v>
      </c>
      <c r="AB378">
        <v>0</v>
      </c>
      <c r="AC378">
        <v>0</v>
      </c>
      <c r="AD378">
        <v>0</v>
      </c>
      <c r="AE378">
        <v>0</v>
      </c>
      <c r="AF378">
        <v>0</v>
      </c>
      <c r="AG378">
        <v>0</v>
      </c>
      <c r="AH378">
        <v>0</v>
      </c>
      <c r="AI378">
        <v>0</v>
      </c>
      <c r="AJ378">
        <v>0</v>
      </c>
      <c r="AK378">
        <v>0</v>
      </c>
      <c r="AL378">
        <v>0</v>
      </c>
      <c r="AM378">
        <v>0</v>
      </c>
      <c r="AN378">
        <v>0</v>
      </c>
      <c r="AO378">
        <v>0</v>
      </c>
      <c r="AP378">
        <v>1</v>
      </c>
    </row>
    <row r="379" spans="4:42" x14ac:dyDescent="0.45">
      <c r="D379">
        <v>2024</v>
      </c>
      <c r="E379">
        <v>4</v>
      </c>
      <c r="F379">
        <v>27718000</v>
      </c>
      <c r="G379">
        <v>2649676.31</v>
      </c>
      <c r="H379">
        <v>1930535.59</v>
      </c>
      <c r="I379">
        <v>435496.33</v>
      </c>
      <c r="J379">
        <v>286513.53000000003</v>
      </c>
      <c r="K379">
        <v>220</v>
      </c>
      <c r="L379">
        <v>15</v>
      </c>
      <c r="M379">
        <v>853</v>
      </c>
      <c r="N379">
        <v>11</v>
      </c>
      <c r="O379">
        <v>36</v>
      </c>
      <c r="P379">
        <v>728851.6</v>
      </c>
      <c r="Q379">
        <v>100.15</v>
      </c>
      <c r="R379">
        <v>111.42</v>
      </c>
      <c r="S379">
        <v>0</v>
      </c>
      <c r="T379">
        <v>0</v>
      </c>
      <c r="U379">
        <v>0</v>
      </c>
      <c r="V379">
        <v>0</v>
      </c>
      <c r="W379">
        <v>1</v>
      </c>
      <c r="X379">
        <v>0</v>
      </c>
      <c r="Y379">
        <v>0</v>
      </c>
      <c r="Z379">
        <v>0</v>
      </c>
      <c r="AA379">
        <v>0</v>
      </c>
      <c r="AB379">
        <v>0</v>
      </c>
      <c r="AC379">
        <v>0</v>
      </c>
      <c r="AD379">
        <v>0</v>
      </c>
      <c r="AE379">
        <v>0</v>
      </c>
      <c r="AF379">
        <v>0</v>
      </c>
      <c r="AG379">
        <v>0</v>
      </c>
      <c r="AH379">
        <v>0</v>
      </c>
      <c r="AI379">
        <v>0</v>
      </c>
      <c r="AJ379">
        <v>0</v>
      </c>
      <c r="AK379">
        <v>0</v>
      </c>
      <c r="AL379">
        <v>0</v>
      </c>
      <c r="AM379">
        <v>1</v>
      </c>
      <c r="AN379">
        <v>0</v>
      </c>
      <c r="AO379">
        <v>0</v>
      </c>
      <c r="AP379">
        <v>0</v>
      </c>
    </row>
    <row r="380" spans="4:42" x14ac:dyDescent="0.45">
      <c r="D380">
        <v>2024</v>
      </c>
      <c r="E380">
        <v>4</v>
      </c>
      <c r="F380">
        <v>14968000</v>
      </c>
      <c r="G380">
        <v>1260070.07</v>
      </c>
      <c r="H380">
        <v>636271.42000000004</v>
      </c>
      <c r="I380">
        <v>560450.07999999996</v>
      </c>
      <c r="J380">
        <v>32163.52</v>
      </c>
      <c r="K380">
        <v>80</v>
      </c>
      <c r="L380">
        <v>6</v>
      </c>
      <c r="M380">
        <v>94</v>
      </c>
      <c r="N380">
        <v>4</v>
      </c>
      <c r="O380">
        <v>27</v>
      </c>
      <c r="P380">
        <v>202937.53</v>
      </c>
      <c r="Q380">
        <v>99.85</v>
      </c>
      <c r="R380">
        <v>111.68</v>
      </c>
      <c r="S380">
        <v>0</v>
      </c>
      <c r="T380">
        <v>0</v>
      </c>
      <c r="U380">
        <v>0</v>
      </c>
      <c r="V380">
        <v>0</v>
      </c>
      <c r="W380">
        <v>1</v>
      </c>
      <c r="X380">
        <v>0</v>
      </c>
      <c r="Y380">
        <v>0</v>
      </c>
      <c r="Z380">
        <v>0</v>
      </c>
      <c r="AA380">
        <v>0</v>
      </c>
      <c r="AB380">
        <v>0</v>
      </c>
      <c r="AC380">
        <v>0</v>
      </c>
      <c r="AD380">
        <v>0</v>
      </c>
      <c r="AE380">
        <v>0</v>
      </c>
      <c r="AF380">
        <v>0</v>
      </c>
      <c r="AG380">
        <v>0</v>
      </c>
      <c r="AH380">
        <v>0</v>
      </c>
      <c r="AI380">
        <v>0</v>
      </c>
      <c r="AJ380">
        <v>0</v>
      </c>
      <c r="AK380">
        <v>0</v>
      </c>
      <c r="AL380">
        <v>0</v>
      </c>
      <c r="AM380">
        <v>0</v>
      </c>
      <c r="AN380">
        <v>1</v>
      </c>
      <c r="AO380">
        <v>0</v>
      </c>
      <c r="AP380">
        <v>0</v>
      </c>
    </row>
    <row r="381" spans="4:42" x14ac:dyDescent="0.45">
      <c r="D381">
        <v>2024</v>
      </c>
      <c r="E381">
        <v>4</v>
      </c>
      <c r="F381">
        <v>4657000</v>
      </c>
      <c r="G381">
        <v>402284.82</v>
      </c>
      <c r="H381">
        <v>326882.96999999997</v>
      </c>
      <c r="I381">
        <v>58526.1</v>
      </c>
      <c r="J381">
        <v>10251.48</v>
      </c>
      <c r="K381">
        <v>33</v>
      </c>
      <c r="L381">
        <v>2</v>
      </c>
      <c r="M381">
        <v>47</v>
      </c>
      <c r="N381">
        <v>1</v>
      </c>
      <c r="O381">
        <v>9</v>
      </c>
      <c r="P381">
        <v>14423.26</v>
      </c>
      <c r="Q381">
        <v>99.3</v>
      </c>
      <c r="R381">
        <v>110.84</v>
      </c>
      <c r="S381">
        <v>0</v>
      </c>
      <c r="T381">
        <v>0</v>
      </c>
      <c r="U381">
        <v>0</v>
      </c>
      <c r="V381">
        <v>0</v>
      </c>
      <c r="W381">
        <v>1</v>
      </c>
      <c r="X381">
        <v>0</v>
      </c>
      <c r="Y381">
        <v>0</v>
      </c>
      <c r="Z381">
        <v>0</v>
      </c>
      <c r="AA381">
        <v>0</v>
      </c>
      <c r="AB381">
        <v>0</v>
      </c>
      <c r="AC381">
        <v>0</v>
      </c>
      <c r="AD381">
        <v>0</v>
      </c>
      <c r="AE381">
        <v>0</v>
      </c>
      <c r="AF381">
        <v>0</v>
      </c>
      <c r="AG381">
        <v>0</v>
      </c>
      <c r="AH381">
        <v>0</v>
      </c>
      <c r="AI381">
        <v>0</v>
      </c>
      <c r="AJ381">
        <v>0</v>
      </c>
      <c r="AK381">
        <v>0</v>
      </c>
      <c r="AL381">
        <v>1</v>
      </c>
      <c r="AM381">
        <v>0</v>
      </c>
      <c r="AN381">
        <v>0</v>
      </c>
      <c r="AO381">
        <v>0</v>
      </c>
      <c r="AP381">
        <v>0</v>
      </c>
    </row>
    <row r="382" spans="4:42" x14ac:dyDescent="0.45">
      <c r="D382">
        <v>2024</v>
      </c>
      <c r="E382">
        <v>5</v>
      </c>
      <c r="F382">
        <v>21066000</v>
      </c>
      <c r="G382">
        <v>1543983.6</v>
      </c>
      <c r="H382">
        <v>833994.69</v>
      </c>
      <c r="I382">
        <v>473404.96</v>
      </c>
      <c r="J382">
        <v>123212.06</v>
      </c>
      <c r="K382">
        <v>95</v>
      </c>
      <c r="L382">
        <v>10</v>
      </c>
      <c r="M382">
        <v>446</v>
      </c>
      <c r="N382">
        <v>4</v>
      </c>
      <c r="O382">
        <v>28</v>
      </c>
      <c r="P382">
        <v>201208.9</v>
      </c>
      <c r="Q382">
        <v>98.56</v>
      </c>
      <c r="R382">
        <v>110.89</v>
      </c>
      <c r="S382">
        <v>0</v>
      </c>
      <c r="T382">
        <v>0</v>
      </c>
      <c r="U382">
        <v>0</v>
      </c>
      <c r="V382">
        <v>1</v>
      </c>
      <c r="W382">
        <v>0</v>
      </c>
      <c r="X382">
        <v>0</v>
      </c>
      <c r="Y382">
        <v>0</v>
      </c>
      <c r="Z382">
        <v>0</v>
      </c>
      <c r="AA382">
        <v>0</v>
      </c>
      <c r="AB382">
        <v>0</v>
      </c>
      <c r="AC382">
        <v>0</v>
      </c>
      <c r="AD382">
        <v>0</v>
      </c>
      <c r="AE382">
        <v>0</v>
      </c>
      <c r="AF382">
        <v>0</v>
      </c>
      <c r="AG382">
        <v>0</v>
      </c>
      <c r="AH382">
        <v>0</v>
      </c>
      <c r="AI382">
        <v>0</v>
      </c>
      <c r="AJ382">
        <v>0</v>
      </c>
      <c r="AK382">
        <v>0</v>
      </c>
      <c r="AL382">
        <v>0</v>
      </c>
      <c r="AM382">
        <v>0</v>
      </c>
      <c r="AN382">
        <v>0</v>
      </c>
      <c r="AO382">
        <v>0</v>
      </c>
      <c r="AP382">
        <v>1</v>
      </c>
    </row>
    <row r="383" spans="4:42" x14ac:dyDescent="0.45">
      <c r="D383">
        <v>2024</v>
      </c>
      <c r="E383">
        <v>5</v>
      </c>
      <c r="F383">
        <v>6874000</v>
      </c>
      <c r="G383">
        <v>589006.09</v>
      </c>
      <c r="H383">
        <v>269731.53999999998</v>
      </c>
      <c r="I383">
        <v>210138.48</v>
      </c>
      <c r="J383">
        <v>133572.23000000001</v>
      </c>
      <c r="K383">
        <v>30</v>
      </c>
      <c r="L383">
        <v>4</v>
      </c>
      <c r="M383">
        <v>39</v>
      </c>
      <c r="N383">
        <v>2</v>
      </c>
      <c r="O383">
        <v>15</v>
      </c>
      <c r="P383">
        <v>47114.61</v>
      </c>
      <c r="Q383">
        <v>102.11</v>
      </c>
      <c r="R383">
        <v>111.46</v>
      </c>
      <c r="S383">
        <v>0</v>
      </c>
      <c r="T383">
        <v>0</v>
      </c>
      <c r="U383">
        <v>0</v>
      </c>
      <c r="V383">
        <v>1</v>
      </c>
      <c r="W383">
        <v>0</v>
      </c>
      <c r="X383">
        <v>0</v>
      </c>
      <c r="Y383">
        <v>0</v>
      </c>
      <c r="Z383">
        <v>0</v>
      </c>
      <c r="AA383">
        <v>0</v>
      </c>
      <c r="AB383">
        <v>0</v>
      </c>
      <c r="AC383">
        <v>0</v>
      </c>
      <c r="AD383">
        <v>0</v>
      </c>
      <c r="AE383">
        <v>0</v>
      </c>
      <c r="AF383">
        <v>0</v>
      </c>
      <c r="AG383">
        <v>0</v>
      </c>
      <c r="AH383">
        <v>1</v>
      </c>
      <c r="AI383">
        <v>0</v>
      </c>
      <c r="AJ383">
        <v>0</v>
      </c>
      <c r="AK383">
        <v>0</v>
      </c>
      <c r="AL383">
        <v>0</v>
      </c>
      <c r="AM383">
        <v>0</v>
      </c>
      <c r="AN383">
        <v>0</v>
      </c>
      <c r="AO383">
        <v>0</v>
      </c>
      <c r="AP383">
        <v>0</v>
      </c>
    </row>
    <row r="384" spans="4:42" x14ac:dyDescent="0.45">
      <c r="D384">
        <v>2024</v>
      </c>
      <c r="E384">
        <v>5</v>
      </c>
      <c r="F384">
        <v>5322000</v>
      </c>
      <c r="G384">
        <v>455942.8</v>
      </c>
      <c r="H384">
        <v>395086.52</v>
      </c>
      <c r="I384">
        <v>62285.23</v>
      </c>
      <c r="J384">
        <v>7419.92</v>
      </c>
      <c r="K384">
        <v>39</v>
      </c>
      <c r="L384">
        <v>1</v>
      </c>
      <c r="M384">
        <v>42</v>
      </c>
      <c r="N384">
        <v>3</v>
      </c>
      <c r="O384">
        <v>13</v>
      </c>
      <c r="P384">
        <v>35487.279999999999</v>
      </c>
      <c r="Q384">
        <v>102.92</v>
      </c>
      <c r="R384">
        <v>110.59</v>
      </c>
      <c r="S384">
        <v>0</v>
      </c>
      <c r="T384">
        <v>0</v>
      </c>
      <c r="U384">
        <v>0</v>
      </c>
      <c r="V384">
        <v>1</v>
      </c>
      <c r="W384">
        <v>0</v>
      </c>
      <c r="X384">
        <v>0</v>
      </c>
      <c r="Y384">
        <v>0</v>
      </c>
      <c r="Z384">
        <v>0</v>
      </c>
      <c r="AA384">
        <v>0</v>
      </c>
      <c r="AB384">
        <v>0</v>
      </c>
      <c r="AC384">
        <v>0</v>
      </c>
      <c r="AD384">
        <v>1</v>
      </c>
      <c r="AE384">
        <v>0</v>
      </c>
      <c r="AF384">
        <v>0</v>
      </c>
      <c r="AG384">
        <v>0</v>
      </c>
      <c r="AH384">
        <v>0</v>
      </c>
      <c r="AI384">
        <v>0</v>
      </c>
      <c r="AJ384">
        <v>0</v>
      </c>
      <c r="AK384">
        <v>0</v>
      </c>
      <c r="AL384">
        <v>0</v>
      </c>
      <c r="AM384">
        <v>0</v>
      </c>
      <c r="AN384">
        <v>0</v>
      </c>
      <c r="AO384">
        <v>0</v>
      </c>
      <c r="AP384">
        <v>0</v>
      </c>
    </row>
    <row r="385" spans="4:42" x14ac:dyDescent="0.45">
      <c r="D385">
        <v>2024</v>
      </c>
      <c r="E385">
        <v>5</v>
      </c>
      <c r="F385">
        <v>24392000</v>
      </c>
      <c r="G385">
        <v>2035775.34</v>
      </c>
      <c r="H385">
        <v>1650270.19</v>
      </c>
      <c r="I385">
        <v>307411.31</v>
      </c>
      <c r="J385">
        <v>28788.2</v>
      </c>
      <c r="K385">
        <v>176</v>
      </c>
      <c r="L385">
        <v>13</v>
      </c>
      <c r="M385">
        <v>887</v>
      </c>
      <c r="N385">
        <v>5</v>
      </c>
      <c r="O385">
        <v>27</v>
      </c>
      <c r="P385">
        <v>299179.81</v>
      </c>
      <c r="Q385">
        <v>100.83</v>
      </c>
      <c r="R385">
        <v>111.12</v>
      </c>
      <c r="S385">
        <v>0</v>
      </c>
      <c r="T385">
        <v>0</v>
      </c>
      <c r="U385">
        <v>0</v>
      </c>
      <c r="V385">
        <v>1</v>
      </c>
      <c r="W385">
        <v>0</v>
      </c>
      <c r="X385">
        <v>0</v>
      </c>
      <c r="Y385">
        <v>0</v>
      </c>
      <c r="Z385">
        <v>0</v>
      </c>
      <c r="AA385">
        <v>0</v>
      </c>
      <c r="AB385">
        <v>0</v>
      </c>
      <c r="AC385">
        <v>0</v>
      </c>
      <c r="AD385">
        <v>0</v>
      </c>
      <c r="AE385">
        <v>0</v>
      </c>
      <c r="AF385">
        <v>1</v>
      </c>
      <c r="AG385">
        <v>0</v>
      </c>
      <c r="AH385">
        <v>0</v>
      </c>
      <c r="AI385">
        <v>0</v>
      </c>
      <c r="AJ385">
        <v>0</v>
      </c>
      <c r="AK385">
        <v>0</v>
      </c>
      <c r="AL385">
        <v>0</v>
      </c>
      <c r="AM385">
        <v>0</v>
      </c>
      <c r="AN385">
        <v>0</v>
      </c>
      <c r="AO385">
        <v>0</v>
      </c>
      <c r="AP385">
        <v>0</v>
      </c>
    </row>
    <row r="386" spans="4:42" x14ac:dyDescent="0.45">
      <c r="D386">
        <v>2024</v>
      </c>
      <c r="E386">
        <v>5</v>
      </c>
      <c r="F386">
        <v>27718000</v>
      </c>
      <c r="G386">
        <v>2247666.4300000002</v>
      </c>
      <c r="H386">
        <v>1810694.78</v>
      </c>
      <c r="I386">
        <v>387007.66</v>
      </c>
      <c r="J386">
        <v>55215.26</v>
      </c>
      <c r="K386">
        <v>217</v>
      </c>
      <c r="L386">
        <v>18</v>
      </c>
      <c r="M386">
        <v>901</v>
      </c>
      <c r="N386">
        <v>7</v>
      </c>
      <c r="O386">
        <v>33</v>
      </c>
      <c r="P386">
        <v>498142.87</v>
      </c>
      <c r="Q386">
        <v>102.23</v>
      </c>
      <c r="R386">
        <v>112.42</v>
      </c>
      <c r="S386">
        <v>0</v>
      </c>
      <c r="T386">
        <v>0</v>
      </c>
      <c r="U386">
        <v>0</v>
      </c>
      <c r="V386">
        <v>1</v>
      </c>
      <c r="W386">
        <v>0</v>
      </c>
      <c r="X386">
        <v>0</v>
      </c>
      <c r="Y386">
        <v>0</v>
      </c>
      <c r="Z386">
        <v>0</v>
      </c>
      <c r="AA386">
        <v>0</v>
      </c>
      <c r="AB386">
        <v>0</v>
      </c>
      <c r="AC386">
        <v>0</v>
      </c>
      <c r="AD386">
        <v>0</v>
      </c>
      <c r="AE386">
        <v>0</v>
      </c>
      <c r="AF386">
        <v>0</v>
      </c>
      <c r="AG386">
        <v>0</v>
      </c>
      <c r="AH386">
        <v>0</v>
      </c>
      <c r="AI386">
        <v>0</v>
      </c>
      <c r="AJ386">
        <v>0</v>
      </c>
      <c r="AK386">
        <v>0</v>
      </c>
      <c r="AL386">
        <v>0</v>
      </c>
      <c r="AM386">
        <v>1</v>
      </c>
      <c r="AN386">
        <v>0</v>
      </c>
      <c r="AO386">
        <v>0</v>
      </c>
      <c r="AP386">
        <v>0</v>
      </c>
    </row>
    <row r="387" spans="4:42" x14ac:dyDescent="0.45">
      <c r="D387">
        <v>2024</v>
      </c>
      <c r="E387">
        <v>5</v>
      </c>
      <c r="F387">
        <v>8870000</v>
      </c>
      <c r="G387">
        <v>723010.1</v>
      </c>
      <c r="H387">
        <v>469949.61</v>
      </c>
      <c r="I387">
        <v>231992.67</v>
      </c>
      <c r="J387">
        <v>33510.25</v>
      </c>
      <c r="K387">
        <v>67</v>
      </c>
      <c r="L387">
        <v>8</v>
      </c>
      <c r="M387">
        <v>64</v>
      </c>
      <c r="N387">
        <v>1</v>
      </c>
      <c r="O387">
        <v>11</v>
      </c>
      <c r="P387">
        <v>25742.89</v>
      </c>
      <c r="Q387">
        <v>101.25</v>
      </c>
      <c r="R387">
        <v>111.72</v>
      </c>
      <c r="S387">
        <v>0</v>
      </c>
      <c r="T387">
        <v>0</v>
      </c>
      <c r="U387">
        <v>0</v>
      </c>
      <c r="V387">
        <v>1</v>
      </c>
      <c r="W387">
        <v>0</v>
      </c>
      <c r="X387">
        <v>0</v>
      </c>
      <c r="Y387">
        <v>0</v>
      </c>
      <c r="Z387">
        <v>0</v>
      </c>
      <c r="AA387">
        <v>0</v>
      </c>
      <c r="AB387">
        <v>0</v>
      </c>
      <c r="AC387">
        <v>0</v>
      </c>
      <c r="AD387">
        <v>0</v>
      </c>
      <c r="AE387">
        <v>0</v>
      </c>
      <c r="AF387">
        <v>0</v>
      </c>
      <c r="AG387">
        <v>0</v>
      </c>
      <c r="AH387">
        <v>0</v>
      </c>
      <c r="AI387">
        <v>0</v>
      </c>
      <c r="AJ387">
        <v>1</v>
      </c>
      <c r="AK387">
        <v>0</v>
      </c>
      <c r="AL387">
        <v>0</v>
      </c>
      <c r="AM387">
        <v>0</v>
      </c>
      <c r="AN387">
        <v>0</v>
      </c>
      <c r="AO387">
        <v>0</v>
      </c>
      <c r="AP387">
        <v>0</v>
      </c>
    </row>
    <row r="388" spans="4:42" x14ac:dyDescent="0.45">
      <c r="D388">
        <v>2024</v>
      </c>
      <c r="E388">
        <v>5</v>
      </c>
      <c r="F388">
        <v>4657000</v>
      </c>
      <c r="G388">
        <v>396267.47</v>
      </c>
      <c r="H388">
        <v>333859.03999999998</v>
      </c>
      <c r="I388">
        <v>60716.65</v>
      </c>
      <c r="J388">
        <v>3662.02</v>
      </c>
      <c r="K388">
        <v>34</v>
      </c>
      <c r="L388">
        <v>2</v>
      </c>
      <c r="M388">
        <v>16</v>
      </c>
      <c r="N388">
        <v>2</v>
      </c>
      <c r="O388">
        <v>14</v>
      </c>
      <c r="P388">
        <v>30156.44</v>
      </c>
      <c r="Q388">
        <v>101.24</v>
      </c>
      <c r="R388">
        <v>111.25</v>
      </c>
      <c r="S388">
        <v>0</v>
      </c>
      <c r="T388">
        <v>0</v>
      </c>
      <c r="U388">
        <v>0</v>
      </c>
      <c r="V388">
        <v>1</v>
      </c>
      <c r="W388">
        <v>0</v>
      </c>
      <c r="X388">
        <v>0</v>
      </c>
      <c r="Y388">
        <v>0</v>
      </c>
      <c r="Z388">
        <v>0</v>
      </c>
      <c r="AA388">
        <v>0</v>
      </c>
      <c r="AB388">
        <v>0</v>
      </c>
      <c r="AC388">
        <v>0</v>
      </c>
      <c r="AD388">
        <v>0</v>
      </c>
      <c r="AE388">
        <v>0</v>
      </c>
      <c r="AF388">
        <v>0</v>
      </c>
      <c r="AG388">
        <v>0</v>
      </c>
      <c r="AH388">
        <v>0</v>
      </c>
      <c r="AI388">
        <v>0</v>
      </c>
      <c r="AJ388">
        <v>0</v>
      </c>
      <c r="AK388">
        <v>0</v>
      </c>
      <c r="AL388">
        <v>1</v>
      </c>
      <c r="AM388">
        <v>0</v>
      </c>
      <c r="AN388">
        <v>0</v>
      </c>
      <c r="AO388">
        <v>0</v>
      </c>
      <c r="AP388">
        <v>0</v>
      </c>
    </row>
    <row r="389" spans="4:42" x14ac:dyDescent="0.45">
      <c r="D389">
        <v>2024</v>
      </c>
      <c r="E389">
        <v>5</v>
      </c>
      <c r="F389">
        <v>3881000</v>
      </c>
      <c r="G389">
        <v>330690.15999999997</v>
      </c>
      <c r="H389">
        <v>283022.86</v>
      </c>
      <c r="I389">
        <v>43196.47</v>
      </c>
      <c r="J389">
        <v>3900.09</v>
      </c>
      <c r="K389">
        <v>28</v>
      </c>
      <c r="L389">
        <v>5</v>
      </c>
      <c r="M389">
        <v>16</v>
      </c>
      <c r="N389">
        <v>3</v>
      </c>
      <c r="O389">
        <v>11</v>
      </c>
      <c r="P389">
        <v>21946.95</v>
      </c>
      <c r="Q389">
        <v>98.05</v>
      </c>
      <c r="R389">
        <v>112.2</v>
      </c>
      <c r="S389">
        <v>0</v>
      </c>
      <c r="T389">
        <v>0</v>
      </c>
      <c r="U389">
        <v>0</v>
      </c>
      <c r="V389">
        <v>1</v>
      </c>
      <c r="W389">
        <v>0</v>
      </c>
      <c r="X389">
        <v>0</v>
      </c>
      <c r="Y389">
        <v>0</v>
      </c>
      <c r="Z389">
        <v>0</v>
      </c>
      <c r="AA389">
        <v>0</v>
      </c>
      <c r="AB389">
        <v>0</v>
      </c>
      <c r="AC389">
        <v>0</v>
      </c>
      <c r="AD389">
        <v>0</v>
      </c>
      <c r="AE389">
        <v>0</v>
      </c>
      <c r="AF389">
        <v>0</v>
      </c>
      <c r="AG389">
        <v>0</v>
      </c>
      <c r="AH389">
        <v>0</v>
      </c>
      <c r="AI389">
        <v>0</v>
      </c>
      <c r="AJ389">
        <v>0</v>
      </c>
      <c r="AK389">
        <v>0</v>
      </c>
      <c r="AL389">
        <v>0</v>
      </c>
      <c r="AM389">
        <v>0</v>
      </c>
      <c r="AN389">
        <v>0</v>
      </c>
      <c r="AO389">
        <v>0</v>
      </c>
      <c r="AP389">
        <v>0</v>
      </c>
    </row>
    <row r="390" spans="4:42" x14ac:dyDescent="0.45">
      <c r="D390">
        <v>2024</v>
      </c>
      <c r="E390">
        <v>5</v>
      </c>
      <c r="F390">
        <v>14968000</v>
      </c>
      <c r="G390">
        <v>1223076.6499999999</v>
      </c>
      <c r="H390">
        <v>654205.99</v>
      </c>
      <c r="I390">
        <v>530803.28</v>
      </c>
      <c r="J390">
        <v>56400.43</v>
      </c>
      <c r="K390">
        <v>83</v>
      </c>
      <c r="L390">
        <v>4</v>
      </c>
      <c r="M390">
        <v>173</v>
      </c>
      <c r="N390">
        <v>2</v>
      </c>
      <c r="O390">
        <v>20</v>
      </c>
      <c r="P390">
        <v>106363.17</v>
      </c>
      <c r="Q390">
        <v>100.87</v>
      </c>
      <c r="R390">
        <v>111.82</v>
      </c>
      <c r="S390">
        <v>0</v>
      </c>
      <c r="T390">
        <v>0</v>
      </c>
      <c r="U390">
        <v>0</v>
      </c>
      <c r="V390">
        <v>1</v>
      </c>
      <c r="W390">
        <v>0</v>
      </c>
      <c r="X390">
        <v>0</v>
      </c>
      <c r="Y390">
        <v>0</v>
      </c>
      <c r="Z390">
        <v>0</v>
      </c>
      <c r="AA390">
        <v>0</v>
      </c>
      <c r="AB390">
        <v>0</v>
      </c>
      <c r="AC390">
        <v>0</v>
      </c>
      <c r="AD390">
        <v>0</v>
      </c>
      <c r="AE390">
        <v>0</v>
      </c>
      <c r="AF390">
        <v>0</v>
      </c>
      <c r="AG390">
        <v>0</v>
      </c>
      <c r="AH390">
        <v>0</v>
      </c>
      <c r="AI390">
        <v>0</v>
      </c>
      <c r="AJ390">
        <v>0</v>
      </c>
      <c r="AK390">
        <v>0</v>
      </c>
      <c r="AL390">
        <v>0</v>
      </c>
      <c r="AM390">
        <v>0</v>
      </c>
      <c r="AN390">
        <v>1</v>
      </c>
      <c r="AO390">
        <v>0</v>
      </c>
      <c r="AP390">
        <v>0</v>
      </c>
    </row>
    <row r="391" spans="4:42" x14ac:dyDescent="0.45">
      <c r="D391">
        <v>2024</v>
      </c>
      <c r="E391">
        <v>5</v>
      </c>
      <c r="F391">
        <v>8094000</v>
      </c>
      <c r="G391">
        <v>658016.56999999995</v>
      </c>
      <c r="H391">
        <v>363197.65</v>
      </c>
      <c r="I391">
        <v>262214.51</v>
      </c>
      <c r="J391">
        <v>27085.97</v>
      </c>
      <c r="K391">
        <v>46</v>
      </c>
      <c r="L391">
        <v>1</v>
      </c>
      <c r="M391">
        <v>20</v>
      </c>
      <c r="N391">
        <v>2</v>
      </c>
      <c r="O391">
        <v>18</v>
      </c>
      <c r="P391">
        <v>44166.45</v>
      </c>
      <c r="Q391">
        <v>100.14</v>
      </c>
      <c r="R391">
        <v>111.75</v>
      </c>
      <c r="S391">
        <v>0</v>
      </c>
      <c r="T391">
        <v>0</v>
      </c>
      <c r="U391">
        <v>0</v>
      </c>
      <c r="V391">
        <v>1</v>
      </c>
      <c r="W391">
        <v>0</v>
      </c>
      <c r="X391">
        <v>0</v>
      </c>
      <c r="Y391">
        <v>0</v>
      </c>
      <c r="Z391">
        <v>0</v>
      </c>
      <c r="AA391">
        <v>0</v>
      </c>
      <c r="AB391">
        <v>0</v>
      </c>
      <c r="AC391">
        <v>0</v>
      </c>
      <c r="AD391">
        <v>0</v>
      </c>
      <c r="AE391">
        <v>0</v>
      </c>
      <c r="AF391">
        <v>0</v>
      </c>
      <c r="AG391">
        <v>1</v>
      </c>
      <c r="AH391">
        <v>0</v>
      </c>
      <c r="AI391">
        <v>0</v>
      </c>
      <c r="AJ391">
        <v>0</v>
      </c>
      <c r="AK391">
        <v>0</v>
      </c>
      <c r="AL391">
        <v>0</v>
      </c>
      <c r="AM391">
        <v>0</v>
      </c>
      <c r="AN391">
        <v>0</v>
      </c>
      <c r="AO391">
        <v>0</v>
      </c>
      <c r="AP391">
        <v>0</v>
      </c>
    </row>
    <row r="392" spans="4:42" x14ac:dyDescent="0.45">
      <c r="D392">
        <v>2024</v>
      </c>
      <c r="E392">
        <v>6</v>
      </c>
      <c r="F392">
        <v>8870000</v>
      </c>
      <c r="G392">
        <v>717587.17</v>
      </c>
      <c r="H392">
        <v>494519.43</v>
      </c>
      <c r="I392">
        <v>210510.88</v>
      </c>
      <c r="J392">
        <v>14472.08</v>
      </c>
      <c r="K392">
        <v>65</v>
      </c>
      <c r="L392">
        <v>4</v>
      </c>
      <c r="M392">
        <v>114</v>
      </c>
      <c r="N392">
        <v>0</v>
      </c>
      <c r="O392">
        <v>12</v>
      </c>
      <c r="P392">
        <v>19829.759999999998</v>
      </c>
      <c r="Q392">
        <v>102.97</v>
      </c>
      <c r="R392">
        <v>112.44</v>
      </c>
      <c r="S392">
        <v>0</v>
      </c>
      <c r="T392">
        <v>0</v>
      </c>
      <c r="U392">
        <v>0</v>
      </c>
      <c r="V392">
        <v>0</v>
      </c>
      <c r="W392">
        <v>0</v>
      </c>
      <c r="X392">
        <v>0</v>
      </c>
      <c r="Y392">
        <v>0</v>
      </c>
      <c r="Z392">
        <v>1</v>
      </c>
      <c r="AA392">
        <v>0</v>
      </c>
      <c r="AB392">
        <v>0</v>
      </c>
      <c r="AC392">
        <v>0</v>
      </c>
      <c r="AD392">
        <v>0</v>
      </c>
      <c r="AE392">
        <v>0</v>
      </c>
      <c r="AF392">
        <v>0</v>
      </c>
      <c r="AG392">
        <v>0</v>
      </c>
      <c r="AH392">
        <v>0</v>
      </c>
      <c r="AI392">
        <v>0</v>
      </c>
      <c r="AJ392">
        <v>0</v>
      </c>
      <c r="AK392">
        <v>1</v>
      </c>
      <c r="AL392">
        <v>0</v>
      </c>
      <c r="AM392">
        <v>0</v>
      </c>
      <c r="AN392">
        <v>0</v>
      </c>
      <c r="AO392">
        <v>0</v>
      </c>
      <c r="AP392">
        <v>0</v>
      </c>
    </row>
    <row r="393" spans="4:42" x14ac:dyDescent="0.45">
      <c r="D393">
        <v>2024</v>
      </c>
      <c r="E393">
        <v>6</v>
      </c>
      <c r="F393">
        <v>6874000</v>
      </c>
      <c r="G393">
        <v>527847.86</v>
      </c>
      <c r="H393">
        <v>276975.09999999998</v>
      </c>
      <c r="I393">
        <v>230585.69</v>
      </c>
      <c r="J393">
        <v>32842.75</v>
      </c>
      <c r="K393">
        <v>30</v>
      </c>
      <c r="L393">
        <v>5</v>
      </c>
      <c r="M393">
        <v>55</v>
      </c>
      <c r="N393">
        <v>0</v>
      </c>
      <c r="O393">
        <v>15</v>
      </c>
      <c r="P393">
        <v>12834.36</v>
      </c>
      <c r="Q393">
        <v>97.14</v>
      </c>
      <c r="R393">
        <v>111.71</v>
      </c>
      <c r="S393">
        <v>0</v>
      </c>
      <c r="T393">
        <v>0</v>
      </c>
      <c r="U393">
        <v>0</v>
      </c>
      <c r="V393">
        <v>0</v>
      </c>
      <c r="W393">
        <v>0</v>
      </c>
      <c r="X393">
        <v>0</v>
      </c>
      <c r="Y393">
        <v>0</v>
      </c>
      <c r="Z393">
        <v>1</v>
      </c>
      <c r="AA393">
        <v>0</v>
      </c>
      <c r="AB393">
        <v>0</v>
      </c>
      <c r="AC393">
        <v>0</v>
      </c>
      <c r="AD393">
        <v>0</v>
      </c>
      <c r="AE393">
        <v>0</v>
      </c>
      <c r="AF393">
        <v>0</v>
      </c>
      <c r="AG393">
        <v>0</v>
      </c>
      <c r="AH393">
        <v>1</v>
      </c>
      <c r="AI393">
        <v>0</v>
      </c>
      <c r="AJ393">
        <v>0</v>
      </c>
      <c r="AK393">
        <v>0</v>
      </c>
      <c r="AL393">
        <v>0</v>
      </c>
      <c r="AM393">
        <v>0</v>
      </c>
      <c r="AN393">
        <v>0</v>
      </c>
      <c r="AO393">
        <v>0</v>
      </c>
      <c r="AP393">
        <v>0</v>
      </c>
    </row>
    <row r="394" spans="4:42" x14ac:dyDescent="0.45">
      <c r="D394">
        <v>2024</v>
      </c>
      <c r="E394">
        <v>6</v>
      </c>
      <c r="F394">
        <v>8094000</v>
      </c>
      <c r="G394">
        <v>669307.84</v>
      </c>
      <c r="H394">
        <v>374119.37</v>
      </c>
      <c r="I394">
        <v>261567.35999999999</v>
      </c>
      <c r="J394">
        <v>42956.42</v>
      </c>
      <c r="K394">
        <v>46</v>
      </c>
      <c r="L394">
        <v>2</v>
      </c>
      <c r="M394">
        <v>25</v>
      </c>
      <c r="N394">
        <v>0</v>
      </c>
      <c r="O394">
        <v>16</v>
      </c>
      <c r="P394">
        <v>23615.5</v>
      </c>
      <c r="Q394">
        <v>99.21</v>
      </c>
      <c r="R394">
        <v>112.27</v>
      </c>
      <c r="S394">
        <v>0</v>
      </c>
      <c r="T394">
        <v>0</v>
      </c>
      <c r="U394">
        <v>0</v>
      </c>
      <c r="V394">
        <v>0</v>
      </c>
      <c r="W394">
        <v>0</v>
      </c>
      <c r="X394">
        <v>0</v>
      </c>
      <c r="Y394">
        <v>0</v>
      </c>
      <c r="Z394">
        <v>1</v>
      </c>
      <c r="AA394">
        <v>0</v>
      </c>
      <c r="AB394">
        <v>0</v>
      </c>
      <c r="AC394">
        <v>0</v>
      </c>
      <c r="AD394">
        <v>0</v>
      </c>
      <c r="AE394">
        <v>0</v>
      </c>
      <c r="AF394">
        <v>0</v>
      </c>
      <c r="AG394">
        <v>1</v>
      </c>
      <c r="AH394">
        <v>0</v>
      </c>
      <c r="AI394">
        <v>0</v>
      </c>
      <c r="AJ394">
        <v>0</v>
      </c>
      <c r="AK394">
        <v>0</v>
      </c>
      <c r="AL394">
        <v>0</v>
      </c>
      <c r="AM394">
        <v>0</v>
      </c>
      <c r="AN394">
        <v>0</v>
      </c>
      <c r="AO394">
        <v>0</v>
      </c>
      <c r="AP394">
        <v>0</v>
      </c>
    </row>
    <row r="395" spans="4:42" x14ac:dyDescent="0.45">
      <c r="D395">
        <v>2024</v>
      </c>
      <c r="E395">
        <v>6</v>
      </c>
      <c r="F395">
        <v>24392000</v>
      </c>
      <c r="G395">
        <v>2108862.7400000002</v>
      </c>
      <c r="H395">
        <v>1691964.66</v>
      </c>
      <c r="I395">
        <v>395155.79</v>
      </c>
      <c r="J395">
        <v>30116.639999999999</v>
      </c>
      <c r="K395">
        <v>184</v>
      </c>
      <c r="L395">
        <v>10</v>
      </c>
      <c r="M395">
        <v>782</v>
      </c>
      <c r="N395">
        <v>9</v>
      </c>
      <c r="O395">
        <v>33</v>
      </c>
      <c r="P395">
        <v>518164.96</v>
      </c>
      <c r="Q395">
        <v>94.55</v>
      </c>
      <c r="R395">
        <v>111.51</v>
      </c>
      <c r="S395">
        <v>0</v>
      </c>
      <c r="T395">
        <v>0</v>
      </c>
      <c r="U395">
        <v>0</v>
      </c>
      <c r="V395">
        <v>0</v>
      </c>
      <c r="W395">
        <v>0</v>
      </c>
      <c r="X395">
        <v>0</v>
      </c>
      <c r="Y395">
        <v>0</v>
      </c>
      <c r="Z395">
        <v>1</v>
      </c>
      <c r="AA395">
        <v>0</v>
      </c>
      <c r="AB395">
        <v>0</v>
      </c>
      <c r="AC395">
        <v>0</v>
      </c>
      <c r="AD395">
        <v>0</v>
      </c>
      <c r="AE395">
        <v>0</v>
      </c>
      <c r="AF395">
        <v>1</v>
      </c>
      <c r="AG395">
        <v>0</v>
      </c>
      <c r="AH395">
        <v>0</v>
      </c>
      <c r="AI395">
        <v>0</v>
      </c>
      <c r="AJ395">
        <v>0</v>
      </c>
      <c r="AK395">
        <v>0</v>
      </c>
      <c r="AL395">
        <v>0</v>
      </c>
      <c r="AM395">
        <v>0</v>
      </c>
      <c r="AN395">
        <v>0</v>
      </c>
      <c r="AO395">
        <v>0</v>
      </c>
      <c r="AP395">
        <v>0</v>
      </c>
    </row>
    <row r="396" spans="4:42" x14ac:dyDescent="0.45">
      <c r="D396">
        <v>2024</v>
      </c>
      <c r="E396">
        <v>6</v>
      </c>
      <c r="F396">
        <v>5322000</v>
      </c>
      <c r="G396">
        <v>441679.56</v>
      </c>
      <c r="H396">
        <v>367886.82</v>
      </c>
      <c r="I396">
        <v>59940.55</v>
      </c>
      <c r="J396">
        <v>8640.3799999999992</v>
      </c>
      <c r="K396">
        <v>36</v>
      </c>
      <c r="L396">
        <v>2</v>
      </c>
      <c r="M396">
        <v>60</v>
      </c>
      <c r="N396">
        <v>2</v>
      </c>
      <c r="O396">
        <v>11</v>
      </c>
      <c r="P396">
        <v>28015.85</v>
      </c>
      <c r="Q396">
        <v>101.27</v>
      </c>
      <c r="R396">
        <v>112.8</v>
      </c>
      <c r="S396">
        <v>0</v>
      </c>
      <c r="T396">
        <v>0</v>
      </c>
      <c r="U396">
        <v>0</v>
      </c>
      <c r="V396">
        <v>0</v>
      </c>
      <c r="W396">
        <v>0</v>
      </c>
      <c r="X396">
        <v>0</v>
      </c>
      <c r="Y396">
        <v>0</v>
      </c>
      <c r="Z396">
        <v>1</v>
      </c>
      <c r="AA396">
        <v>0</v>
      </c>
      <c r="AB396">
        <v>0</v>
      </c>
      <c r="AC396">
        <v>0</v>
      </c>
      <c r="AD396">
        <v>1</v>
      </c>
      <c r="AE396">
        <v>0</v>
      </c>
      <c r="AF396">
        <v>0</v>
      </c>
      <c r="AG396">
        <v>0</v>
      </c>
      <c r="AH396">
        <v>0</v>
      </c>
      <c r="AI396">
        <v>0</v>
      </c>
      <c r="AJ396">
        <v>0</v>
      </c>
      <c r="AK396">
        <v>0</v>
      </c>
      <c r="AL396">
        <v>0</v>
      </c>
      <c r="AM396">
        <v>0</v>
      </c>
      <c r="AN396">
        <v>0</v>
      </c>
      <c r="AO396">
        <v>0</v>
      </c>
      <c r="AP396">
        <v>0</v>
      </c>
    </row>
    <row r="397" spans="4:42" x14ac:dyDescent="0.45">
      <c r="D397">
        <v>2024</v>
      </c>
      <c r="E397">
        <v>6</v>
      </c>
      <c r="F397">
        <v>14968000</v>
      </c>
      <c r="G397">
        <v>1167571.8899999999</v>
      </c>
      <c r="H397">
        <v>640449.43999999994</v>
      </c>
      <c r="I397">
        <v>512280.53</v>
      </c>
      <c r="J397">
        <v>91566.55</v>
      </c>
      <c r="K397">
        <v>81</v>
      </c>
      <c r="L397">
        <v>6</v>
      </c>
      <c r="M397">
        <v>114</v>
      </c>
      <c r="N397">
        <v>4</v>
      </c>
      <c r="O397">
        <v>22</v>
      </c>
      <c r="P397">
        <v>146551.01999999999</v>
      </c>
      <c r="Q397">
        <v>103.86</v>
      </c>
      <c r="R397">
        <v>110.85</v>
      </c>
      <c r="S397">
        <v>0</v>
      </c>
      <c r="T397">
        <v>0</v>
      </c>
      <c r="U397">
        <v>0</v>
      </c>
      <c r="V397">
        <v>0</v>
      </c>
      <c r="W397">
        <v>0</v>
      </c>
      <c r="X397">
        <v>0</v>
      </c>
      <c r="Y397">
        <v>0</v>
      </c>
      <c r="Z397">
        <v>1</v>
      </c>
      <c r="AA397">
        <v>0</v>
      </c>
      <c r="AB397">
        <v>0</v>
      </c>
      <c r="AC397">
        <v>0</v>
      </c>
      <c r="AD397">
        <v>0</v>
      </c>
      <c r="AE397">
        <v>0</v>
      </c>
      <c r="AF397">
        <v>0</v>
      </c>
      <c r="AG397">
        <v>0</v>
      </c>
      <c r="AH397">
        <v>0</v>
      </c>
      <c r="AI397">
        <v>0</v>
      </c>
      <c r="AJ397">
        <v>0</v>
      </c>
      <c r="AK397">
        <v>0</v>
      </c>
      <c r="AL397">
        <v>0</v>
      </c>
      <c r="AM397">
        <v>0</v>
      </c>
      <c r="AN397">
        <v>1</v>
      </c>
      <c r="AO397">
        <v>0</v>
      </c>
      <c r="AP397">
        <v>0</v>
      </c>
    </row>
    <row r="398" spans="4:42" x14ac:dyDescent="0.45">
      <c r="D398">
        <v>2024</v>
      </c>
      <c r="E398">
        <v>6</v>
      </c>
      <c r="F398">
        <v>21066000</v>
      </c>
      <c r="G398">
        <v>1838715.06</v>
      </c>
      <c r="H398">
        <v>798136.96</v>
      </c>
      <c r="I398">
        <v>963598.31</v>
      </c>
      <c r="J398">
        <v>115490.07</v>
      </c>
      <c r="K398">
        <v>95</v>
      </c>
      <c r="L398">
        <v>8</v>
      </c>
      <c r="M398">
        <v>418</v>
      </c>
      <c r="N398">
        <v>8</v>
      </c>
      <c r="O398">
        <v>28</v>
      </c>
      <c r="P398">
        <v>465134.76</v>
      </c>
      <c r="Q398">
        <v>102.01</v>
      </c>
      <c r="R398">
        <v>112.17</v>
      </c>
      <c r="S398">
        <v>0</v>
      </c>
      <c r="T398">
        <v>0</v>
      </c>
      <c r="U398">
        <v>0</v>
      </c>
      <c r="V398">
        <v>0</v>
      </c>
      <c r="W398">
        <v>0</v>
      </c>
      <c r="X398">
        <v>0</v>
      </c>
      <c r="Y398">
        <v>0</v>
      </c>
      <c r="Z398">
        <v>1</v>
      </c>
      <c r="AA398">
        <v>0</v>
      </c>
      <c r="AB398">
        <v>0</v>
      </c>
      <c r="AC398">
        <v>0</v>
      </c>
      <c r="AD398">
        <v>0</v>
      </c>
      <c r="AE398">
        <v>0</v>
      </c>
      <c r="AF398">
        <v>0</v>
      </c>
      <c r="AG398">
        <v>0</v>
      </c>
      <c r="AH398">
        <v>0</v>
      </c>
      <c r="AI398">
        <v>0</v>
      </c>
      <c r="AJ398">
        <v>0</v>
      </c>
      <c r="AK398">
        <v>0</v>
      </c>
      <c r="AL398">
        <v>0</v>
      </c>
      <c r="AM398">
        <v>0</v>
      </c>
      <c r="AN398">
        <v>0</v>
      </c>
      <c r="AO398">
        <v>0</v>
      </c>
      <c r="AP398">
        <v>1</v>
      </c>
    </row>
    <row r="399" spans="4:42" x14ac:dyDescent="0.45">
      <c r="D399">
        <v>2024</v>
      </c>
      <c r="E399">
        <v>6</v>
      </c>
      <c r="F399">
        <v>27718000</v>
      </c>
      <c r="G399">
        <v>2427902.0699999998</v>
      </c>
      <c r="H399">
        <v>1857543.4</v>
      </c>
      <c r="I399">
        <v>507750.14</v>
      </c>
      <c r="J399">
        <v>92380.44</v>
      </c>
      <c r="K399">
        <v>209</v>
      </c>
      <c r="L399">
        <v>15</v>
      </c>
      <c r="M399">
        <v>862</v>
      </c>
      <c r="N399">
        <v>7</v>
      </c>
      <c r="O399">
        <v>30</v>
      </c>
      <c r="P399">
        <v>513732.86</v>
      </c>
      <c r="Q399">
        <v>101.94</v>
      </c>
      <c r="R399">
        <v>111</v>
      </c>
      <c r="S399">
        <v>0</v>
      </c>
      <c r="T399">
        <v>0</v>
      </c>
      <c r="U399">
        <v>0</v>
      </c>
      <c r="V399">
        <v>0</v>
      </c>
      <c r="W399">
        <v>0</v>
      </c>
      <c r="X399">
        <v>0</v>
      </c>
      <c r="Y399">
        <v>0</v>
      </c>
      <c r="Z399">
        <v>1</v>
      </c>
      <c r="AA399">
        <v>0</v>
      </c>
      <c r="AB399">
        <v>0</v>
      </c>
      <c r="AC399">
        <v>0</v>
      </c>
      <c r="AD399">
        <v>0</v>
      </c>
      <c r="AE399">
        <v>0</v>
      </c>
      <c r="AF399">
        <v>0</v>
      </c>
      <c r="AG399">
        <v>0</v>
      </c>
      <c r="AH399">
        <v>0</v>
      </c>
      <c r="AI399">
        <v>0</v>
      </c>
      <c r="AJ399">
        <v>0</v>
      </c>
      <c r="AK399">
        <v>0</v>
      </c>
      <c r="AL399">
        <v>0</v>
      </c>
      <c r="AM399">
        <v>1</v>
      </c>
      <c r="AN399">
        <v>0</v>
      </c>
      <c r="AO399">
        <v>0</v>
      </c>
      <c r="AP399">
        <v>0</v>
      </c>
    </row>
    <row r="400" spans="4:42" x14ac:dyDescent="0.45">
      <c r="D400">
        <v>2024</v>
      </c>
      <c r="E400">
        <v>6</v>
      </c>
      <c r="F400">
        <v>4657000</v>
      </c>
      <c r="G400">
        <v>404396.24</v>
      </c>
      <c r="H400">
        <v>326632.44</v>
      </c>
      <c r="I400">
        <v>66051.679999999993</v>
      </c>
      <c r="J400">
        <v>8785.89</v>
      </c>
      <c r="K400">
        <v>34</v>
      </c>
      <c r="L400">
        <v>4</v>
      </c>
      <c r="M400">
        <v>47</v>
      </c>
      <c r="N400">
        <v>2</v>
      </c>
      <c r="O400">
        <v>17</v>
      </c>
      <c r="P400">
        <v>37350.19</v>
      </c>
      <c r="Q400">
        <v>103.46</v>
      </c>
      <c r="R400">
        <v>112.54</v>
      </c>
      <c r="S400">
        <v>0</v>
      </c>
      <c r="T400">
        <v>0</v>
      </c>
      <c r="U400">
        <v>0</v>
      </c>
      <c r="V400">
        <v>0</v>
      </c>
      <c r="W400">
        <v>0</v>
      </c>
      <c r="X400">
        <v>0</v>
      </c>
      <c r="Y400">
        <v>0</v>
      </c>
      <c r="Z400">
        <v>1</v>
      </c>
      <c r="AA400">
        <v>0</v>
      </c>
      <c r="AB400">
        <v>0</v>
      </c>
      <c r="AC400">
        <v>0</v>
      </c>
      <c r="AD400">
        <v>0</v>
      </c>
      <c r="AE400">
        <v>0</v>
      </c>
      <c r="AF400">
        <v>0</v>
      </c>
      <c r="AG400">
        <v>0</v>
      </c>
      <c r="AH400">
        <v>0</v>
      </c>
      <c r="AI400">
        <v>0</v>
      </c>
      <c r="AJ400">
        <v>0</v>
      </c>
      <c r="AK400">
        <v>0</v>
      </c>
      <c r="AL400">
        <v>1</v>
      </c>
      <c r="AM400">
        <v>0</v>
      </c>
      <c r="AN400">
        <v>0</v>
      </c>
      <c r="AO400">
        <v>0</v>
      </c>
      <c r="AP400">
        <v>0</v>
      </c>
    </row>
    <row r="401" spans="4:42" x14ac:dyDescent="0.45">
      <c r="D401">
        <v>2024</v>
      </c>
      <c r="E401">
        <v>6</v>
      </c>
      <c r="F401">
        <v>3881000</v>
      </c>
      <c r="G401">
        <v>373443.57</v>
      </c>
      <c r="H401">
        <v>316999.39</v>
      </c>
      <c r="I401">
        <v>45064.26</v>
      </c>
      <c r="J401">
        <v>7376.53</v>
      </c>
      <c r="K401">
        <v>29</v>
      </c>
      <c r="L401">
        <v>5</v>
      </c>
      <c r="M401">
        <v>45</v>
      </c>
      <c r="N401">
        <v>0</v>
      </c>
      <c r="O401">
        <v>8</v>
      </c>
      <c r="P401">
        <v>6174.85</v>
      </c>
      <c r="Q401">
        <v>101.78</v>
      </c>
      <c r="R401">
        <v>111.96</v>
      </c>
      <c r="S401">
        <v>0</v>
      </c>
      <c r="T401">
        <v>0</v>
      </c>
      <c r="U401">
        <v>0</v>
      </c>
      <c r="V401">
        <v>0</v>
      </c>
      <c r="W401">
        <v>0</v>
      </c>
      <c r="X401">
        <v>0</v>
      </c>
      <c r="Y401">
        <v>0</v>
      </c>
      <c r="Z401">
        <v>1</v>
      </c>
      <c r="AA401">
        <v>0</v>
      </c>
      <c r="AB401">
        <v>0</v>
      </c>
      <c r="AC401">
        <v>0</v>
      </c>
      <c r="AD401">
        <v>0</v>
      </c>
      <c r="AE401">
        <v>0</v>
      </c>
      <c r="AF401">
        <v>0</v>
      </c>
      <c r="AG401">
        <v>0</v>
      </c>
      <c r="AH401">
        <v>0</v>
      </c>
      <c r="AI401">
        <v>0</v>
      </c>
      <c r="AJ401">
        <v>0</v>
      </c>
      <c r="AK401">
        <v>0</v>
      </c>
      <c r="AL401">
        <v>0</v>
      </c>
      <c r="AM401">
        <v>0</v>
      </c>
      <c r="AN401">
        <v>0</v>
      </c>
      <c r="AO401">
        <v>0</v>
      </c>
      <c r="AP401">
        <v>0</v>
      </c>
    </row>
    <row r="402" spans="4:42" x14ac:dyDescent="0.45">
      <c r="D402">
        <v>2024</v>
      </c>
      <c r="E402">
        <v>7</v>
      </c>
      <c r="F402">
        <v>27718000</v>
      </c>
      <c r="G402">
        <v>2449997.7599999998</v>
      </c>
      <c r="H402">
        <v>1773585.9</v>
      </c>
      <c r="I402">
        <v>596899.49</v>
      </c>
      <c r="J402">
        <v>68874.78</v>
      </c>
      <c r="K402">
        <v>211</v>
      </c>
      <c r="L402">
        <v>12</v>
      </c>
      <c r="M402">
        <v>931</v>
      </c>
      <c r="N402">
        <v>7</v>
      </c>
      <c r="O402">
        <v>31</v>
      </c>
      <c r="P402">
        <v>555240.72</v>
      </c>
      <c r="Q402">
        <v>97.57</v>
      </c>
      <c r="R402">
        <v>112.75</v>
      </c>
      <c r="S402">
        <v>1</v>
      </c>
      <c r="T402">
        <v>0</v>
      </c>
      <c r="U402">
        <v>0</v>
      </c>
      <c r="V402">
        <v>0</v>
      </c>
      <c r="W402">
        <v>0</v>
      </c>
      <c r="X402">
        <v>0</v>
      </c>
      <c r="Y402">
        <v>0</v>
      </c>
      <c r="Z402">
        <v>0</v>
      </c>
      <c r="AA402">
        <v>0</v>
      </c>
      <c r="AB402">
        <v>0</v>
      </c>
      <c r="AC402">
        <v>0</v>
      </c>
      <c r="AD402">
        <v>0</v>
      </c>
      <c r="AE402">
        <v>0</v>
      </c>
      <c r="AF402">
        <v>0</v>
      </c>
      <c r="AG402">
        <v>0</v>
      </c>
      <c r="AH402">
        <v>0</v>
      </c>
      <c r="AI402">
        <v>0</v>
      </c>
      <c r="AJ402">
        <v>0</v>
      </c>
      <c r="AK402">
        <v>0</v>
      </c>
      <c r="AL402">
        <v>0</v>
      </c>
      <c r="AM402">
        <v>1</v>
      </c>
      <c r="AN402">
        <v>0</v>
      </c>
      <c r="AO402">
        <v>0</v>
      </c>
      <c r="AP402">
        <v>0</v>
      </c>
    </row>
    <row r="403" spans="4:42" x14ac:dyDescent="0.45">
      <c r="D403">
        <v>2024</v>
      </c>
      <c r="E403">
        <v>7</v>
      </c>
      <c r="F403">
        <v>8094000</v>
      </c>
      <c r="G403">
        <v>650276.49</v>
      </c>
      <c r="H403">
        <v>379413.52</v>
      </c>
      <c r="I403">
        <v>253504.06</v>
      </c>
      <c r="J403">
        <v>29622.06</v>
      </c>
      <c r="K403">
        <v>46</v>
      </c>
      <c r="L403">
        <v>4</v>
      </c>
      <c r="M403">
        <v>73</v>
      </c>
      <c r="N403">
        <v>3</v>
      </c>
      <c r="O403">
        <v>18</v>
      </c>
      <c r="P403">
        <v>58703.09</v>
      </c>
      <c r="Q403">
        <v>100.9</v>
      </c>
      <c r="R403">
        <v>112.17</v>
      </c>
      <c r="S403">
        <v>1</v>
      </c>
      <c r="T403">
        <v>0</v>
      </c>
      <c r="U403">
        <v>0</v>
      </c>
      <c r="V403">
        <v>0</v>
      </c>
      <c r="W403">
        <v>0</v>
      </c>
      <c r="X403">
        <v>0</v>
      </c>
      <c r="Y403">
        <v>0</v>
      </c>
      <c r="Z403">
        <v>0</v>
      </c>
      <c r="AA403">
        <v>0</v>
      </c>
      <c r="AB403">
        <v>0</v>
      </c>
      <c r="AC403">
        <v>0</v>
      </c>
      <c r="AD403">
        <v>0</v>
      </c>
      <c r="AE403">
        <v>0</v>
      </c>
      <c r="AF403">
        <v>0</v>
      </c>
      <c r="AG403">
        <v>1</v>
      </c>
      <c r="AH403">
        <v>0</v>
      </c>
      <c r="AI403">
        <v>0</v>
      </c>
      <c r="AJ403">
        <v>0</v>
      </c>
      <c r="AK403">
        <v>0</v>
      </c>
      <c r="AL403">
        <v>0</v>
      </c>
      <c r="AM403">
        <v>0</v>
      </c>
      <c r="AN403">
        <v>0</v>
      </c>
      <c r="AO403">
        <v>0</v>
      </c>
      <c r="AP403">
        <v>0</v>
      </c>
    </row>
    <row r="404" spans="4:42" x14ac:dyDescent="0.45">
      <c r="D404">
        <v>2024</v>
      </c>
      <c r="E404">
        <v>7</v>
      </c>
      <c r="F404">
        <v>14968000</v>
      </c>
      <c r="G404">
        <v>1193847.29</v>
      </c>
      <c r="H404">
        <v>600494.96</v>
      </c>
      <c r="I404">
        <v>544289.57999999996</v>
      </c>
      <c r="J404">
        <v>67926.720000000001</v>
      </c>
      <c r="K404">
        <v>79</v>
      </c>
      <c r="L404">
        <v>8</v>
      </c>
      <c r="M404">
        <v>190</v>
      </c>
      <c r="N404">
        <v>5</v>
      </c>
      <c r="O404">
        <v>30</v>
      </c>
      <c r="P404">
        <v>171934.5</v>
      </c>
      <c r="Q404">
        <v>101.78</v>
      </c>
      <c r="R404">
        <v>112.63</v>
      </c>
      <c r="S404">
        <v>1</v>
      </c>
      <c r="T404">
        <v>0</v>
      </c>
      <c r="U404">
        <v>0</v>
      </c>
      <c r="V404">
        <v>0</v>
      </c>
      <c r="W404">
        <v>0</v>
      </c>
      <c r="X404">
        <v>0</v>
      </c>
      <c r="Y404">
        <v>0</v>
      </c>
      <c r="Z404">
        <v>0</v>
      </c>
      <c r="AA404">
        <v>0</v>
      </c>
      <c r="AB404">
        <v>0</v>
      </c>
      <c r="AC404">
        <v>0</v>
      </c>
      <c r="AD404">
        <v>0</v>
      </c>
      <c r="AE404">
        <v>0</v>
      </c>
      <c r="AF404">
        <v>0</v>
      </c>
      <c r="AG404">
        <v>0</v>
      </c>
      <c r="AH404">
        <v>0</v>
      </c>
      <c r="AI404">
        <v>0</v>
      </c>
      <c r="AJ404">
        <v>0</v>
      </c>
      <c r="AK404">
        <v>0</v>
      </c>
      <c r="AL404">
        <v>0</v>
      </c>
      <c r="AM404">
        <v>0</v>
      </c>
      <c r="AN404">
        <v>1</v>
      </c>
      <c r="AO404">
        <v>0</v>
      </c>
      <c r="AP404">
        <v>0</v>
      </c>
    </row>
    <row r="405" spans="4:42" x14ac:dyDescent="0.45">
      <c r="D405">
        <v>2024</v>
      </c>
      <c r="E405">
        <v>7</v>
      </c>
      <c r="F405">
        <v>24392000</v>
      </c>
      <c r="G405">
        <v>2178709.23</v>
      </c>
      <c r="H405">
        <v>1683371.93</v>
      </c>
      <c r="I405">
        <v>391953.06</v>
      </c>
      <c r="J405">
        <v>28077.119999999999</v>
      </c>
      <c r="K405">
        <v>174</v>
      </c>
      <c r="L405">
        <v>12</v>
      </c>
      <c r="M405">
        <v>750</v>
      </c>
      <c r="N405">
        <v>10</v>
      </c>
      <c r="O405">
        <v>32</v>
      </c>
      <c r="P405">
        <v>613015.22</v>
      </c>
      <c r="Q405">
        <v>101.96</v>
      </c>
      <c r="R405">
        <v>111.22</v>
      </c>
      <c r="S405">
        <v>1</v>
      </c>
      <c r="T405">
        <v>0</v>
      </c>
      <c r="U405">
        <v>0</v>
      </c>
      <c r="V405">
        <v>0</v>
      </c>
      <c r="W405">
        <v>0</v>
      </c>
      <c r="X405">
        <v>0</v>
      </c>
      <c r="Y405">
        <v>0</v>
      </c>
      <c r="Z405">
        <v>0</v>
      </c>
      <c r="AA405">
        <v>0</v>
      </c>
      <c r="AB405">
        <v>0</v>
      </c>
      <c r="AC405">
        <v>0</v>
      </c>
      <c r="AD405">
        <v>0</v>
      </c>
      <c r="AE405">
        <v>0</v>
      </c>
      <c r="AF405">
        <v>1</v>
      </c>
      <c r="AG405">
        <v>0</v>
      </c>
      <c r="AH405">
        <v>0</v>
      </c>
      <c r="AI405">
        <v>0</v>
      </c>
      <c r="AJ405">
        <v>0</v>
      </c>
      <c r="AK405">
        <v>0</v>
      </c>
      <c r="AL405">
        <v>0</v>
      </c>
      <c r="AM405">
        <v>0</v>
      </c>
      <c r="AN405">
        <v>0</v>
      </c>
      <c r="AO405">
        <v>0</v>
      </c>
      <c r="AP405">
        <v>0</v>
      </c>
    </row>
    <row r="406" spans="4:42" x14ac:dyDescent="0.45">
      <c r="D406">
        <v>2024</v>
      </c>
      <c r="E406">
        <v>7</v>
      </c>
      <c r="F406">
        <v>6874000</v>
      </c>
      <c r="G406">
        <v>692071.09</v>
      </c>
      <c r="H406">
        <v>289341.68</v>
      </c>
      <c r="I406">
        <v>244974.69</v>
      </c>
      <c r="J406">
        <v>160553.43</v>
      </c>
      <c r="K406">
        <v>31</v>
      </c>
      <c r="L406">
        <v>2</v>
      </c>
      <c r="M406">
        <v>81</v>
      </c>
      <c r="N406">
        <v>3</v>
      </c>
      <c r="O406">
        <v>13</v>
      </c>
      <c r="P406">
        <v>46251.81</v>
      </c>
      <c r="Q406">
        <v>100.85</v>
      </c>
      <c r="R406">
        <v>111.86</v>
      </c>
      <c r="S406">
        <v>1</v>
      </c>
      <c r="T406">
        <v>0</v>
      </c>
      <c r="U406">
        <v>0</v>
      </c>
      <c r="V406">
        <v>0</v>
      </c>
      <c r="W406">
        <v>0</v>
      </c>
      <c r="X406">
        <v>0</v>
      </c>
      <c r="Y406">
        <v>0</v>
      </c>
      <c r="Z406">
        <v>0</v>
      </c>
      <c r="AA406">
        <v>0</v>
      </c>
      <c r="AB406">
        <v>0</v>
      </c>
      <c r="AC406">
        <v>0</v>
      </c>
      <c r="AD406">
        <v>0</v>
      </c>
      <c r="AE406">
        <v>0</v>
      </c>
      <c r="AF406">
        <v>0</v>
      </c>
      <c r="AG406">
        <v>0</v>
      </c>
      <c r="AH406">
        <v>1</v>
      </c>
      <c r="AI406">
        <v>0</v>
      </c>
      <c r="AJ406">
        <v>0</v>
      </c>
      <c r="AK406">
        <v>0</v>
      </c>
      <c r="AL406">
        <v>0</v>
      </c>
      <c r="AM406">
        <v>0</v>
      </c>
      <c r="AN406">
        <v>0</v>
      </c>
      <c r="AO406">
        <v>0</v>
      </c>
      <c r="AP406">
        <v>0</v>
      </c>
    </row>
    <row r="407" spans="4:42" x14ac:dyDescent="0.45">
      <c r="D407">
        <v>2024</v>
      </c>
      <c r="E407">
        <v>7</v>
      </c>
      <c r="F407">
        <v>21066000</v>
      </c>
      <c r="G407">
        <v>1575773.57</v>
      </c>
      <c r="H407">
        <v>836747.98</v>
      </c>
      <c r="I407">
        <v>671108.44</v>
      </c>
      <c r="J407">
        <v>46329.88</v>
      </c>
      <c r="K407">
        <v>100</v>
      </c>
      <c r="L407">
        <v>3</v>
      </c>
      <c r="M407">
        <v>523</v>
      </c>
      <c r="N407">
        <v>6</v>
      </c>
      <c r="O407">
        <v>29</v>
      </c>
      <c r="P407">
        <v>402116.92</v>
      </c>
      <c r="Q407">
        <v>102.46</v>
      </c>
      <c r="R407">
        <v>112.14</v>
      </c>
      <c r="S407">
        <v>1</v>
      </c>
      <c r="T407">
        <v>0</v>
      </c>
      <c r="U407">
        <v>0</v>
      </c>
      <c r="V407">
        <v>0</v>
      </c>
      <c r="W407">
        <v>0</v>
      </c>
      <c r="X407">
        <v>0</v>
      </c>
      <c r="Y407">
        <v>0</v>
      </c>
      <c r="Z407">
        <v>0</v>
      </c>
      <c r="AA407">
        <v>0</v>
      </c>
      <c r="AB407">
        <v>0</v>
      </c>
      <c r="AC407">
        <v>0</v>
      </c>
      <c r="AD407">
        <v>0</v>
      </c>
      <c r="AE407">
        <v>0</v>
      </c>
      <c r="AF407">
        <v>0</v>
      </c>
      <c r="AG407">
        <v>0</v>
      </c>
      <c r="AH407">
        <v>0</v>
      </c>
      <c r="AI407">
        <v>0</v>
      </c>
      <c r="AJ407">
        <v>0</v>
      </c>
      <c r="AK407">
        <v>0</v>
      </c>
      <c r="AL407">
        <v>0</v>
      </c>
      <c r="AM407">
        <v>0</v>
      </c>
      <c r="AN407">
        <v>0</v>
      </c>
      <c r="AO407">
        <v>0</v>
      </c>
      <c r="AP407">
        <v>1</v>
      </c>
    </row>
    <row r="408" spans="4:42" x14ac:dyDescent="0.45">
      <c r="D408">
        <v>2024</v>
      </c>
      <c r="E408">
        <v>7</v>
      </c>
      <c r="F408">
        <v>5322000</v>
      </c>
      <c r="G408">
        <v>466338.32</v>
      </c>
      <c r="H408">
        <v>378490.2</v>
      </c>
      <c r="I408">
        <v>67937.78</v>
      </c>
      <c r="J408">
        <v>11398.64</v>
      </c>
      <c r="K408">
        <v>37</v>
      </c>
      <c r="L408">
        <v>3</v>
      </c>
      <c r="M408">
        <v>55</v>
      </c>
      <c r="N408">
        <v>0</v>
      </c>
      <c r="O408">
        <v>8</v>
      </c>
      <c r="P408">
        <v>7154.76</v>
      </c>
      <c r="Q408">
        <v>99.33</v>
      </c>
      <c r="R408">
        <v>112.17</v>
      </c>
      <c r="S408">
        <v>1</v>
      </c>
      <c r="T408">
        <v>0</v>
      </c>
      <c r="U408">
        <v>0</v>
      </c>
      <c r="V408">
        <v>0</v>
      </c>
      <c r="W408">
        <v>0</v>
      </c>
      <c r="X408">
        <v>0</v>
      </c>
      <c r="Y408">
        <v>0</v>
      </c>
      <c r="Z408">
        <v>0</v>
      </c>
      <c r="AA408">
        <v>0</v>
      </c>
      <c r="AB408">
        <v>0</v>
      </c>
      <c r="AC408">
        <v>0</v>
      </c>
      <c r="AD408">
        <v>1</v>
      </c>
      <c r="AE408">
        <v>0</v>
      </c>
      <c r="AF408">
        <v>0</v>
      </c>
      <c r="AG408">
        <v>0</v>
      </c>
      <c r="AH408">
        <v>0</v>
      </c>
      <c r="AI408">
        <v>0</v>
      </c>
      <c r="AJ408">
        <v>0</v>
      </c>
      <c r="AK408">
        <v>0</v>
      </c>
      <c r="AL408">
        <v>0</v>
      </c>
      <c r="AM408">
        <v>0</v>
      </c>
      <c r="AN408">
        <v>0</v>
      </c>
      <c r="AO408">
        <v>0</v>
      </c>
      <c r="AP408">
        <v>0</v>
      </c>
    </row>
    <row r="409" spans="4:42" x14ac:dyDescent="0.45">
      <c r="D409">
        <v>2024</v>
      </c>
      <c r="E409">
        <v>7</v>
      </c>
      <c r="F409">
        <v>8870000</v>
      </c>
      <c r="G409">
        <v>721906.21</v>
      </c>
      <c r="H409">
        <v>469269.75</v>
      </c>
      <c r="I409">
        <v>226392.44</v>
      </c>
      <c r="J409">
        <v>15573.01</v>
      </c>
      <c r="K409">
        <v>65</v>
      </c>
      <c r="L409">
        <v>4</v>
      </c>
      <c r="M409">
        <v>98</v>
      </c>
      <c r="N409">
        <v>4</v>
      </c>
      <c r="O409">
        <v>18</v>
      </c>
      <c r="P409">
        <v>96252.160000000003</v>
      </c>
      <c r="Q409">
        <v>102.16</v>
      </c>
      <c r="R409">
        <v>112.17</v>
      </c>
      <c r="S409">
        <v>1</v>
      </c>
      <c r="T409">
        <v>0</v>
      </c>
      <c r="U409">
        <v>0</v>
      </c>
      <c r="V409">
        <v>0</v>
      </c>
      <c r="W409">
        <v>0</v>
      </c>
      <c r="X409">
        <v>0</v>
      </c>
      <c r="Y409">
        <v>0</v>
      </c>
      <c r="Z409">
        <v>0</v>
      </c>
      <c r="AA409">
        <v>0</v>
      </c>
      <c r="AB409">
        <v>0</v>
      </c>
      <c r="AC409">
        <v>0</v>
      </c>
      <c r="AD409">
        <v>0</v>
      </c>
      <c r="AE409">
        <v>0</v>
      </c>
      <c r="AF409">
        <v>0</v>
      </c>
      <c r="AG409">
        <v>0</v>
      </c>
      <c r="AH409">
        <v>0</v>
      </c>
      <c r="AI409">
        <v>0</v>
      </c>
      <c r="AJ409">
        <v>0</v>
      </c>
      <c r="AK409">
        <v>1</v>
      </c>
      <c r="AL409">
        <v>0</v>
      </c>
      <c r="AM409">
        <v>0</v>
      </c>
      <c r="AN409">
        <v>0</v>
      </c>
      <c r="AO409">
        <v>0</v>
      </c>
      <c r="AP409">
        <v>0</v>
      </c>
    </row>
    <row r="410" spans="4:42" x14ac:dyDescent="0.45">
      <c r="D410">
        <v>2024</v>
      </c>
      <c r="E410">
        <v>7</v>
      </c>
      <c r="F410">
        <v>4657000</v>
      </c>
      <c r="G410">
        <v>404406.65</v>
      </c>
      <c r="H410">
        <v>329686.03000000003</v>
      </c>
      <c r="I410">
        <v>63619.16</v>
      </c>
      <c r="J410">
        <v>8771.7099999999991</v>
      </c>
      <c r="K410">
        <v>34</v>
      </c>
      <c r="L410">
        <v>5</v>
      </c>
      <c r="M410">
        <v>50</v>
      </c>
      <c r="N410">
        <v>0</v>
      </c>
      <c r="O410">
        <v>12</v>
      </c>
      <c r="P410">
        <v>6910.86</v>
      </c>
      <c r="Q410">
        <v>100.08</v>
      </c>
      <c r="R410">
        <v>112.31</v>
      </c>
      <c r="S410">
        <v>1</v>
      </c>
      <c r="T410">
        <v>0</v>
      </c>
      <c r="U410">
        <v>0</v>
      </c>
      <c r="V410">
        <v>0</v>
      </c>
      <c r="W410">
        <v>0</v>
      </c>
      <c r="X410">
        <v>0</v>
      </c>
      <c r="Y410">
        <v>0</v>
      </c>
      <c r="Z410">
        <v>0</v>
      </c>
      <c r="AA410">
        <v>0</v>
      </c>
      <c r="AB410">
        <v>0</v>
      </c>
      <c r="AC410">
        <v>0</v>
      </c>
      <c r="AD410">
        <v>0</v>
      </c>
      <c r="AE410">
        <v>0</v>
      </c>
      <c r="AF410">
        <v>0</v>
      </c>
      <c r="AG410">
        <v>0</v>
      </c>
      <c r="AH410">
        <v>0</v>
      </c>
      <c r="AI410">
        <v>0</v>
      </c>
      <c r="AJ410">
        <v>0</v>
      </c>
      <c r="AK410">
        <v>0</v>
      </c>
      <c r="AL410">
        <v>1</v>
      </c>
      <c r="AM410">
        <v>0</v>
      </c>
      <c r="AN410">
        <v>0</v>
      </c>
      <c r="AO410">
        <v>0</v>
      </c>
      <c r="AP410">
        <v>0</v>
      </c>
    </row>
    <row r="411" spans="4:42" x14ac:dyDescent="0.45">
      <c r="D411">
        <v>2024</v>
      </c>
      <c r="E411">
        <v>7</v>
      </c>
      <c r="F411">
        <v>3881000</v>
      </c>
      <c r="G411">
        <v>341546.23999999999</v>
      </c>
      <c r="H411">
        <v>272937.5</v>
      </c>
      <c r="I411">
        <v>45770.41</v>
      </c>
      <c r="J411">
        <v>22940.52</v>
      </c>
      <c r="K411">
        <v>28</v>
      </c>
      <c r="L411">
        <v>3</v>
      </c>
      <c r="M411">
        <v>245</v>
      </c>
      <c r="N411">
        <v>3</v>
      </c>
      <c r="O411">
        <v>9</v>
      </c>
      <c r="P411">
        <v>30098.49</v>
      </c>
      <c r="Q411">
        <v>98.35</v>
      </c>
      <c r="R411">
        <v>112.43</v>
      </c>
      <c r="S411">
        <v>1</v>
      </c>
      <c r="T411">
        <v>0</v>
      </c>
      <c r="U411">
        <v>0</v>
      </c>
      <c r="V411">
        <v>0</v>
      </c>
      <c r="W411">
        <v>0</v>
      </c>
      <c r="X411">
        <v>0</v>
      </c>
      <c r="Y411">
        <v>0</v>
      </c>
      <c r="Z411">
        <v>0</v>
      </c>
      <c r="AA411">
        <v>0</v>
      </c>
      <c r="AB411">
        <v>0</v>
      </c>
      <c r="AC411">
        <v>0</v>
      </c>
      <c r="AD411">
        <v>0</v>
      </c>
      <c r="AE411">
        <v>0</v>
      </c>
      <c r="AF411">
        <v>0</v>
      </c>
      <c r="AG411">
        <v>0</v>
      </c>
      <c r="AH411">
        <v>0</v>
      </c>
      <c r="AI411">
        <v>0</v>
      </c>
      <c r="AJ411">
        <v>0</v>
      </c>
      <c r="AK411">
        <v>0</v>
      </c>
      <c r="AL411">
        <v>0</v>
      </c>
      <c r="AM411">
        <v>0</v>
      </c>
      <c r="AN411">
        <v>0</v>
      </c>
      <c r="AO411">
        <v>0</v>
      </c>
      <c r="AP411">
        <v>0</v>
      </c>
    </row>
    <row r="412" spans="4:42" x14ac:dyDescent="0.45">
      <c r="D412">
        <v>2024</v>
      </c>
      <c r="E412">
        <v>8</v>
      </c>
      <c r="F412">
        <v>3881000</v>
      </c>
      <c r="G412">
        <v>316908.98</v>
      </c>
      <c r="H412">
        <v>273046.77</v>
      </c>
      <c r="I412">
        <v>43352.84</v>
      </c>
      <c r="J412">
        <v>2621.3200000000002</v>
      </c>
      <c r="K412">
        <v>28</v>
      </c>
      <c r="L412">
        <v>4</v>
      </c>
      <c r="M412">
        <v>42</v>
      </c>
      <c r="N412">
        <v>2</v>
      </c>
      <c r="O412">
        <v>12</v>
      </c>
      <c r="P412">
        <v>17048.259999999998</v>
      </c>
      <c r="Q412">
        <v>103.24</v>
      </c>
      <c r="R412">
        <v>112.61</v>
      </c>
      <c r="S412">
        <v>0</v>
      </c>
      <c r="T412">
        <v>0</v>
      </c>
      <c r="U412">
        <v>0</v>
      </c>
      <c r="V412">
        <v>0</v>
      </c>
      <c r="W412">
        <v>0</v>
      </c>
      <c r="X412">
        <v>0</v>
      </c>
      <c r="Y412">
        <v>0</v>
      </c>
      <c r="Z412">
        <v>0</v>
      </c>
      <c r="AA412">
        <v>1</v>
      </c>
      <c r="AB412">
        <v>0</v>
      </c>
      <c r="AC412">
        <v>0</v>
      </c>
      <c r="AD412">
        <v>0</v>
      </c>
      <c r="AE412">
        <v>0</v>
      </c>
      <c r="AF412">
        <v>0</v>
      </c>
      <c r="AG412">
        <v>0</v>
      </c>
      <c r="AH412">
        <v>0</v>
      </c>
      <c r="AI412">
        <v>0</v>
      </c>
      <c r="AJ412">
        <v>0</v>
      </c>
      <c r="AK412">
        <v>0</v>
      </c>
      <c r="AL412">
        <v>0</v>
      </c>
      <c r="AM412">
        <v>0</v>
      </c>
      <c r="AN412">
        <v>0</v>
      </c>
      <c r="AO412">
        <v>0</v>
      </c>
      <c r="AP412">
        <v>0</v>
      </c>
    </row>
    <row r="413" spans="4:42" x14ac:dyDescent="0.45">
      <c r="D413">
        <v>2024</v>
      </c>
      <c r="E413">
        <v>8</v>
      </c>
      <c r="F413">
        <v>5322000</v>
      </c>
      <c r="G413">
        <v>457609.16</v>
      </c>
      <c r="H413">
        <v>377323.81</v>
      </c>
      <c r="I413">
        <v>63889.98</v>
      </c>
      <c r="J413">
        <v>11002.08</v>
      </c>
      <c r="K413">
        <v>37</v>
      </c>
      <c r="L413">
        <v>6</v>
      </c>
      <c r="M413">
        <v>53</v>
      </c>
      <c r="N413">
        <v>2</v>
      </c>
      <c r="O413">
        <v>11</v>
      </c>
      <c r="P413">
        <v>35569.61</v>
      </c>
      <c r="Q413">
        <v>101.54</v>
      </c>
      <c r="R413">
        <v>111.82</v>
      </c>
      <c r="S413">
        <v>0</v>
      </c>
      <c r="T413">
        <v>0</v>
      </c>
      <c r="U413">
        <v>0</v>
      </c>
      <c r="V413">
        <v>0</v>
      </c>
      <c r="W413">
        <v>0</v>
      </c>
      <c r="X413">
        <v>0</v>
      </c>
      <c r="Y413">
        <v>0</v>
      </c>
      <c r="Z413">
        <v>0</v>
      </c>
      <c r="AA413">
        <v>1</v>
      </c>
      <c r="AB413">
        <v>0</v>
      </c>
      <c r="AC413">
        <v>0</v>
      </c>
      <c r="AD413">
        <v>1</v>
      </c>
      <c r="AE413">
        <v>0</v>
      </c>
      <c r="AF413">
        <v>0</v>
      </c>
      <c r="AG413">
        <v>0</v>
      </c>
      <c r="AH413">
        <v>0</v>
      </c>
      <c r="AI413">
        <v>0</v>
      </c>
      <c r="AJ413">
        <v>0</v>
      </c>
      <c r="AK413">
        <v>0</v>
      </c>
      <c r="AL413">
        <v>0</v>
      </c>
      <c r="AM413">
        <v>0</v>
      </c>
      <c r="AN413">
        <v>0</v>
      </c>
      <c r="AO413">
        <v>0</v>
      </c>
      <c r="AP413">
        <v>0</v>
      </c>
    </row>
    <row r="414" spans="4:42" x14ac:dyDescent="0.45">
      <c r="D414">
        <v>2024</v>
      </c>
      <c r="E414">
        <v>8</v>
      </c>
      <c r="F414">
        <v>14968000</v>
      </c>
      <c r="G414">
        <v>1202250.23</v>
      </c>
      <c r="H414">
        <v>615242.77</v>
      </c>
      <c r="I414">
        <v>506147.93</v>
      </c>
      <c r="J414">
        <v>90722.94</v>
      </c>
      <c r="K414">
        <v>79</v>
      </c>
      <c r="L414">
        <v>3</v>
      </c>
      <c r="M414">
        <v>145</v>
      </c>
      <c r="N414">
        <v>6</v>
      </c>
      <c r="O414">
        <v>24</v>
      </c>
      <c r="P414">
        <v>245768.55</v>
      </c>
      <c r="Q414">
        <v>101.52</v>
      </c>
      <c r="R414">
        <v>111.69</v>
      </c>
      <c r="S414">
        <v>0</v>
      </c>
      <c r="T414">
        <v>0</v>
      </c>
      <c r="U414">
        <v>0</v>
      </c>
      <c r="V414">
        <v>0</v>
      </c>
      <c r="W414">
        <v>0</v>
      </c>
      <c r="X414">
        <v>0</v>
      </c>
      <c r="Y414">
        <v>0</v>
      </c>
      <c r="Z414">
        <v>0</v>
      </c>
      <c r="AA414">
        <v>1</v>
      </c>
      <c r="AB414">
        <v>0</v>
      </c>
      <c r="AC414">
        <v>0</v>
      </c>
      <c r="AD414">
        <v>0</v>
      </c>
      <c r="AE414">
        <v>0</v>
      </c>
      <c r="AF414">
        <v>0</v>
      </c>
      <c r="AG414">
        <v>0</v>
      </c>
      <c r="AH414">
        <v>0</v>
      </c>
      <c r="AI414">
        <v>0</v>
      </c>
      <c r="AJ414">
        <v>0</v>
      </c>
      <c r="AK414">
        <v>0</v>
      </c>
      <c r="AL414">
        <v>0</v>
      </c>
      <c r="AM414">
        <v>0</v>
      </c>
      <c r="AN414">
        <v>1</v>
      </c>
      <c r="AO414">
        <v>0</v>
      </c>
      <c r="AP414">
        <v>0</v>
      </c>
    </row>
    <row r="415" spans="4:42" x14ac:dyDescent="0.45">
      <c r="D415">
        <v>2024</v>
      </c>
      <c r="E415">
        <v>8</v>
      </c>
      <c r="F415">
        <v>8094000</v>
      </c>
      <c r="G415">
        <v>680970.66</v>
      </c>
      <c r="H415">
        <v>383197.6</v>
      </c>
      <c r="I415">
        <v>302605.31</v>
      </c>
      <c r="J415">
        <v>12170.57</v>
      </c>
      <c r="K415">
        <v>45</v>
      </c>
      <c r="L415">
        <v>2</v>
      </c>
      <c r="M415">
        <v>101</v>
      </c>
      <c r="N415">
        <v>3</v>
      </c>
      <c r="O415">
        <v>12</v>
      </c>
      <c r="P415">
        <v>68996.740000000005</v>
      </c>
      <c r="Q415">
        <v>102.49</v>
      </c>
      <c r="R415">
        <v>112.27</v>
      </c>
      <c r="S415">
        <v>0</v>
      </c>
      <c r="T415">
        <v>0</v>
      </c>
      <c r="U415">
        <v>0</v>
      </c>
      <c r="V415">
        <v>0</v>
      </c>
      <c r="W415">
        <v>0</v>
      </c>
      <c r="X415">
        <v>0</v>
      </c>
      <c r="Y415">
        <v>0</v>
      </c>
      <c r="Z415">
        <v>0</v>
      </c>
      <c r="AA415">
        <v>1</v>
      </c>
      <c r="AB415">
        <v>0</v>
      </c>
      <c r="AC415">
        <v>0</v>
      </c>
      <c r="AD415">
        <v>0</v>
      </c>
      <c r="AE415">
        <v>0</v>
      </c>
      <c r="AF415">
        <v>0</v>
      </c>
      <c r="AG415">
        <v>1</v>
      </c>
      <c r="AH415">
        <v>0</v>
      </c>
      <c r="AI415">
        <v>0</v>
      </c>
      <c r="AJ415">
        <v>0</v>
      </c>
      <c r="AK415">
        <v>0</v>
      </c>
      <c r="AL415">
        <v>0</v>
      </c>
      <c r="AM415">
        <v>0</v>
      </c>
      <c r="AN415">
        <v>0</v>
      </c>
      <c r="AO415">
        <v>0</v>
      </c>
      <c r="AP415">
        <v>0</v>
      </c>
    </row>
    <row r="416" spans="4:42" x14ac:dyDescent="0.45">
      <c r="D416">
        <v>2024</v>
      </c>
      <c r="E416">
        <v>8</v>
      </c>
      <c r="F416">
        <v>24392000</v>
      </c>
      <c r="G416">
        <v>1984892.54</v>
      </c>
      <c r="H416">
        <v>1736960.84</v>
      </c>
      <c r="I416">
        <v>310572.96000000002</v>
      </c>
      <c r="J416">
        <v>66051.289999999994</v>
      </c>
      <c r="K416">
        <v>186</v>
      </c>
      <c r="L416">
        <v>14</v>
      </c>
      <c r="M416">
        <v>750</v>
      </c>
      <c r="N416">
        <v>7</v>
      </c>
      <c r="O416">
        <v>35</v>
      </c>
      <c r="P416">
        <v>513510.33</v>
      </c>
      <c r="Q416">
        <v>103.53</v>
      </c>
      <c r="R416">
        <v>112.09</v>
      </c>
      <c r="S416">
        <v>0</v>
      </c>
      <c r="T416">
        <v>0</v>
      </c>
      <c r="U416">
        <v>0</v>
      </c>
      <c r="V416">
        <v>0</v>
      </c>
      <c r="W416">
        <v>0</v>
      </c>
      <c r="X416">
        <v>0</v>
      </c>
      <c r="Y416">
        <v>0</v>
      </c>
      <c r="Z416">
        <v>0</v>
      </c>
      <c r="AA416">
        <v>1</v>
      </c>
      <c r="AB416">
        <v>0</v>
      </c>
      <c r="AC416">
        <v>0</v>
      </c>
      <c r="AD416">
        <v>0</v>
      </c>
      <c r="AE416">
        <v>0</v>
      </c>
      <c r="AF416">
        <v>1</v>
      </c>
      <c r="AG416">
        <v>0</v>
      </c>
      <c r="AH416">
        <v>0</v>
      </c>
      <c r="AI416">
        <v>0</v>
      </c>
      <c r="AJ416">
        <v>0</v>
      </c>
      <c r="AK416">
        <v>0</v>
      </c>
      <c r="AL416">
        <v>0</v>
      </c>
      <c r="AM416">
        <v>0</v>
      </c>
      <c r="AN416">
        <v>0</v>
      </c>
      <c r="AO416">
        <v>0</v>
      </c>
      <c r="AP416">
        <v>0</v>
      </c>
    </row>
    <row r="417" spans="4:42" x14ac:dyDescent="0.45">
      <c r="D417">
        <v>2024</v>
      </c>
      <c r="E417">
        <v>8</v>
      </c>
      <c r="F417">
        <v>6874000</v>
      </c>
      <c r="G417">
        <v>587981.9</v>
      </c>
      <c r="H417">
        <v>291713.7</v>
      </c>
      <c r="I417">
        <v>258633.93</v>
      </c>
      <c r="J417">
        <v>31777.89</v>
      </c>
      <c r="K417">
        <v>31</v>
      </c>
      <c r="L417">
        <v>2</v>
      </c>
      <c r="M417">
        <v>38</v>
      </c>
      <c r="N417">
        <v>2</v>
      </c>
      <c r="O417">
        <v>9</v>
      </c>
      <c r="P417">
        <v>24238</v>
      </c>
      <c r="Q417">
        <v>98.26</v>
      </c>
      <c r="R417">
        <v>111.81</v>
      </c>
      <c r="S417">
        <v>0</v>
      </c>
      <c r="T417">
        <v>0</v>
      </c>
      <c r="U417">
        <v>0</v>
      </c>
      <c r="V417">
        <v>0</v>
      </c>
      <c r="W417">
        <v>0</v>
      </c>
      <c r="X417">
        <v>0</v>
      </c>
      <c r="Y417">
        <v>0</v>
      </c>
      <c r="Z417">
        <v>0</v>
      </c>
      <c r="AA417">
        <v>1</v>
      </c>
      <c r="AB417">
        <v>0</v>
      </c>
      <c r="AC417">
        <v>0</v>
      </c>
      <c r="AD417">
        <v>0</v>
      </c>
      <c r="AE417">
        <v>0</v>
      </c>
      <c r="AF417">
        <v>0</v>
      </c>
      <c r="AG417">
        <v>0</v>
      </c>
      <c r="AH417">
        <v>1</v>
      </c>
      <c r="AI417">
        <v>0</v>
      </c>
      <c r="AJ417">
        <v>0</v>
      </c>
      <c r="AK417">
        <v>0</v>
      </c>
      <c r="AL417">
        <v>0</v>
      </c>
      <c r="AM417">
        <v>0</v>
      </c>
      <c r="AN417">
        <v>0</v>
      </c>
      <c r="AO417">
        <v>0</v>
      </c>
      <c r="AP417">
        <v>0</v>
      </c>
    </row>
    <row r="418" spans="4:42" x14ac:dyDescent="0.45">
      <c r="D418">
        <v>2024</v>
      </c>
      <c r="E418">
        <v>8</v>
      </c>
      <c r="F418">
        <v>4657000</v>
      </c>
      <c r="G418">
        <v>400507.94</v>
      </c>
      <c r="H418">
        <v>327497.01</v>
      </c>
      <c r="I418">
        <v>69166.12</v>
      </c>
      <c r="J418">
        <v>4612.6099999999997</v>
      </c>
      <c r="K418">
        <v>34</v>
      </c>
      <c r="L418">
        <v>3</v>
      </c>
      <c r="M418">
        <v>5</v>
      </c>
      <c r="N418">
        <v>2</v>
      </c>
      <c r="O418">
        <v>7</v>
      </c>
      <c r="P418">
        <v>18221.759999999998</v>
      </c>
      <c r="Q418">
        <v>100.79</v>
      </c>
      <c r="R418">
        <v>112.42</v>
      </c>
      <c r="S418">
        <v>0</v>
      </c>
      <c r="T418">
        <v>0</v>
      </c>
      <c r="U418">
        <v>0</v>
      </c>
      <c r="V418">
        <v>0</v>
      </c>
      <c r="W418">
        <v>0</v>
      </c>
      <c r="X418">
        <v>0</v>
      </c>
      <c r="Y418">
        <v>0</v>
      </c>
      <c r="Z418">
        <v>0</v>
      </c>
      <c r="AA418">
        <v>1</v>
      </c>
      <c r="AB418">
        <v>0</v>
      </c>
      <c r="AC418">
        <v>0</v>
      </c>
      <c r="AD418">
        <v>0</v>
      </c>
      <c r="AE418">
        <v>0</v>
      </c>
      <c r="AF418">
        <v>0</v>
      </c>
      <c r="AG418">
        <v>0</v>
      </c>
      <c r="AH418">
        <v>0</v>
      </c>
      <c r="AI418">
        <v>0</v>
      </c>
      <c r="AJ418">
        <v>0</v>
      </c>
      <c r="AK418">
        <v>0</v>
      </c>
      <c r="AL418">
        <v>1</v>
      </c>
      <c r="AM418">
        <v>0</v>
      </c>
      <c r="AN418">
        <v>0</v>
      </c>
      <c r="AO418">
        <v>0</v>
      </c>
      <c r="AP418">
        <v>0</v>
      </c>
    </row>
    <row r="419" spans="4:42" x14ac:dyDescent="0.45">
      <c r="D419">
        <v>2024</v>
      </c>
      <c r="E419">
        <v>8</v>
      </c>
      <c r="F419">
        <v>21066000</v>
      </c>
      <c r="G419">
        <v>1923864.66</v>
      </c>
      <c r="H419">
        <v>796996.33</v>
      </c>
      <c r="I419">
        <v>829762.56000000006</v>
      </c>
      <c r="J419">
        <v>335660.71</v>
      </c>
      <c r="K419">
        <v>100</v>
      </c>
      <c r="L419">
        <v>5</v>
      </c>
      <c r="M419">
        <v>392</v>
      </c>
      <c r="N419">
        <v>6</v>
      </c>
      <c r="O419">
        <v>22</v>
      </c>
      <c r="P419">
        <v>230396.36</v>
      </c>
      <c r="Q419">
        <v>103.09</v>
      </c>
      <c r="R419">
        <v>112.35</v>
      </c>
      <c r="S419">
        <v>0</v>
      </c>
      <c r="T419">
        <v>0</v>
      </c>
      <c r="U419">
        <v>0</v>
      </c>
      <c r="V419">
        <v>0</v>
      </c>
      <c r="W419">
        <v>0</v>
      </c>
      <c r="X419">
        <v>0</v>
      </c>
      <c r="Y419">
        <v>0</v>
      </c>
      <c r="Z419">
        <v>0</v>
      </c>
      <c r="AA419">
        <v>1</v>
      </c>
      <c r="AB419">
        <v>0</v>
      </c>
      <c r="AC419">
        <v>0</v>
      </c>
      <c r="AD419">
        <v>0</v>
      </c>
      <c r="AE419">
        <v>0</v>
      </c>
      <c r="AF419">
        <v>0</v>
      </c>
      <c r="AG419">
        <v>0</v>
      </c>
      <c r="AH419">
        <v>0</v>
      </c>
      <c r="AI419">
        <v>0</v>
      </c>
      <c r="AJ419">
        <v>0</v>
      </c>
      <c r="AK419">
        <v>0</v>
      </c>
      <c r="AL419">
        <v>0</v>
      </c>
      <c r="AM419">
        <v>0</v>
      </c>
      <c r="AN419">
        <v>0</v>
      </c>
      <c r="AO419">
        <v>0</v>
      </c>
      <c r="AP419">
        <v>1</v>
      </c>
    </row>
    <row r="420" spans="4:42" x14ac:dyDescent="0.45">
      <c r="D420">
        <v>2024</v>
      </c>
      <c r="E420">
        <v>8</v>
      </c>
      <c r="F420">
        <v>8870000</v>
      </c>
      <c r="G420">
        <v>778275.95</v>
      </c>
      <c r="H420">
        <v>482270.53</v>
      </c>
      <c r="I420">
        <v>275326.59999999998</v>
      </c>
      <c r="J420">
        <v>21188</v>
      </c>
      <c r="K420">
        <v>65</v>
      </c>
      <c r="L420">
        <v>4</v>
      </c>
      <c r="M420">
        <v>99</v>
      </c>
      <c r="N420">
        <v>2</v>
      </c>
      <c r="O420">
        <v>19</v>
      </c>
      <c r="P420">
        <v>65541.11</v>
      </c>
      <c r="Q420">
        <v>102.93</v>
      </c>
      <c r="R420">
        <v>112.24</v>
      </c>
      <c r="S420">
        <v>0</v>
      </c>
      <c r="T420">
        <v>0</v>
      </c>
      <c r="U420">
        <v>0</v>
      </c>
      <c r="V420">
        <v>0</v>
      </c>
      <c r="W420">
        <v>0</v>
      </c>
      <c r="X420">
        <v>0</v>
      </c>
      <c r="Y420">
        <v>0</v>
      </c>
      <c r="Z420">
        <v>0</v>
      </c>
      <c r="AA420">
        <v>1</v>
      </c>
      <c r="AB420">
        <v>0</v>
      </c>
      <c r="AC420">
        <v>0</v>
      </c>
      <c r="AD420">
        <v>0</v>
      </c>
      <c r="AE420">
        <v>0</v>
      </c>
      <c r="AF420">
        <v>0</v>
      </c>
      <c r="AG420">
        <v>0</v>
      </c>
      <c r="AH420">
        <v>0</v>
      </c>
      <c r="AI420">
        <v>0</v>
      </c>
      <c r="AJ420">
        <v>1</v>
      </c>
      <c r="AK420">
        <v>0</v>
      </c>
      <c r="AL420">
        <v>0</v>
      </c>
      <c r="AM420">
        <v>0</v>
      </c>
      <c r="AN420">
        <v>0</v>
      </c>
      <c r="AO420">
        <v>0</v>
      </c>
      <c r="AP420">
        <v>0</v>
      </c>
    </row>
    <row r="421" spans="4:42" x14ac:dyDescent="0.45">
      <c r="D421">
        <v>2024</v>
      </c>
      <c r="E421">
        <v>8</v>
      </c>
      <c r="F421">
        <v>27718000</v>
      </c>
      <c r="G421">
        <v>2434793.17</v>
      </c>
      <c r="H421">
        <v>1875855.6</v>
      </c>
      <c r="I421">
        <v>452328.76</v>
      </c>
      <c r="J421">
        <v>84806.99</v>
      </c>
      <c r="K421">
        <v>214</v>
      </c>
      <c r="L421">
        <v>15</v>
      </c>
      <c r="M421">
        <v>1074</v>
      </c>
      <c r="N421">
        <v>8</v>
      </c>
      <c r="O421">
        <v>33</v>
      </c>
      <c r="P421">
        <v>705006.51</v>
      </c>
      <c r="Q421">
        <v>100.24</v>
      </c>
      <c r="R421">
        <v>113.52</v>
      </c>
      <c r="S421">
        <v>0</v>
      </c>
      <c r="T421">
        <v>0</v>
      </c>
      <c r="U421">
        <v>0</v>
      </c>
      <c r="V421">
        <v>0</v>
      </c>
      <c r="W421">
        <v>0</v>
      </c>
      <c r="X421">
        <v>0</v>
      </c>
      <c r="Y421">
        <v>0</v>
      </c>
      <c r="Z421">
        <v>0</v>
      </c>
      <c r="AA421">
        <v>1</v>
      </c>
      <c r="AB421">
        <v>0</v>
      </c>
      <c r="AC421">
        <v>0</v>
      </c>
      <c r="AD421">
        <v>0</v>
      </c>
      <c r="AE421">
        <v>0</v>
      </c>
      <c r="AF421">
        <v>0</v>
      </c>
      <c r="AG421">
        <v>0</v>
      </c>
      <c r="AH421">
        <v>0</v>
      </c>
      <c r="AI421">
        <v>0</v>
      </c>
      <c r="AJ421">
        <v>0</v>
      </c>
      <c r="AK421">
        <v>0</v>
      </c>
      <c r="AL421">
        <v>0</v>
      </c>
      <c r="AM421">
        <v>1</v>
      </c>
      <c r="AN421">
        <v>0</v>
      </c>
      <c r="AO421">
        <v>0</v>
      </c>
      <c r="AP421">
        <v>0</v>
      </c>
    </row>
    <row r="422" spans="4:42" x14ac:dyDescent="0.45">
      <c r="D422">
        <v>2024</v>
      </c>
      <c r="E422">
        <v>9</v>
      </c>
      <c r="F422">
        <v>5322000</v>
      </c>
      <c r="G422">
        <v>431513.48</v>
      </c>
      <c r="H422">
        <v>368918.43</v>
      </c>
      <c r="I422">
        <v>67646.240000000005</v>
      </c>
      <c r="J422">
        <v>4037.96</v>
      </c>
      <c r="K422">
        <v>36</v>
      </c>
      <c r="L422">
        <v>6</v>
      </c>
      <c r="M422">
        <v>11</v>
      </c>
      <c r="N422">
        <v>2</v>
      </c>
      <c r="O422">
        <v>9</v>
      </c>
      <c r="P422">
        <v>29160.23</v>
      </c>
      <c r="Q422">
        <v>100.73</v>
      </c>
      <c r="R422">
        <v>112.95</v>
      </c>
      <c r="S422">
        <v>0</v>
      </c>
      <c r="T422">
        <v>0</v>
      </c>
      <c r="U422">
        <v>0</v>
      </c>
      <c r="V422">
        <v>0</v>
      </c>
      <c r="W422">
        <v>0</v>
      </c>
      <c r="X422">
        <v>0</v>
      </c>
      <c r="Y422">
        <v>1</v>
      </c>
      <c r="Z422">
        <v>0</v>
      </c>
      <c r="AA422">
        <v>0</v>
      </c>
      <c r="AB422">
        <v>0</v>
      </c>
      <c r="AC422">
        <v>0</v>
      </c>
      <c r="AD422">
        <v>1</v>
      </c>
      <c r="AE422">
        <v>0</v>
      </c>
      <c r="AF422">
        <v>0</v>
      </c>
      <c r="AG422">
        <v>0</v>
      </c>
      <c r="AH422">
        <v>0</v>
      </c>
      <c r="AI422">
        <v>0</v>
      </c>
      <c r="AJ422">
        <v>0</v>
      </c>
      <c r="AK422">
        <v>0</v>
      </c>
      <c r="AL422">
        <v>0</v>
      </c>
      <c r="AM422">
        <v>0</v>
      </c>
      <c r="AN422">
        <v>0</v>
      </c>
      <c r="AO422">
        <v>0</v>
      </c>
      <c r="AP422">
        <v>0</v>
      </c>
    </row>
    <row r="423" spans="4:42" x14ac:dyDescent="0.45">
      <c r="D423">
        <v>2024</v>
      </c>
      <c r="E423">
        <v>9</v>
      </c>
      <c r="F423">
        <v>4657000</v>
      </c>
      <c r="G423">
        <v>403897.55</v>
      </c>
      <c r="H423">
        <v>333373.32</v>
      </c>
      <c r="I423">
        <v>60506.48</v>
      </c>
      <c r="J423">
        <v>7860.53</v>
      </c>
      <c r="K423">
        <v>34</v>
      </c>
      <c r="L423">
        <v>0</v>
      </c>
      <c r="M423">
        <v>52</v>
      </c>
      <c r="N423">
        <v>0</v>
      </c>
      <c r="O423">
        <v>10</v>
      </c>
      <c r="P423">
        <v>6226.79</v>
      </c>
      <c r="Q423">
        <v>105.32</v>
      </c>
      <c r="R423">
        <v>113.23</v>
      </c>
      <c r="S423">
        <v>0</v>
      </c>
      <c r="T423">
        <v>0</v>
      </c>
      <c r="U423">
        <v>0</v>
      </c>
      <c r="V423">
        <v>0</v>
      </c>
      <c r="W423">
        <v>0</v>
      </c>
      <c r="X423">
        <v>0</v>
      </c>
      <c r="Y423">
        <v>1</v>
      </c>
      <c r="Z423">
        <v>0</v>
      </c>
      <c r="AA423">
        <v>0</v>
      </c>
      <c r="AB423">
        <v>0</v>
      </c>
      <c r="AC423">
        <v>0</v>
      </c>
      <c r="AD423">
        <v>0</v>
      </c>
      <c r="AE423">
        <v>0</v>
      </c>
      <c r="AF423">
        <v>0</v>
      </c>
      <c r="AG423">
        <v>0</v>
      </c>
      <c r="AH423">
        <v>0</v>
      </c>
      <c r="AI423">
        <v>0</v>
      </c>
      <c r="AJ423">
        <v>0</v>
      </c>
      <c r="AK423">
        <v>0</v>
      </c>
      <c r="AL423">
        <v>1</v>
      </c>
      <c r="AM423">
        <v>0</v>
      </c>
      <c r="AN423">
        <v>0</v>
      </c>
      <c r="AO423">
        <v>0</v>
      </c>
      <c r="AP423">
        <v>0</v>
      </c>
    </row>
    <row r="424" spans="4:42" x14ac:dyDescent="0.45">
      <c r="D424">
        <v>2024</v>
      </c>
      <c r="E424">
        <v>9</v>
      </c>
      <c r="F424">
        <v>3881000</v>
      </c>
      <c r="G424">
        <v>308081.56</v>
      </c>
      <c r="H424">
        <v>270353.40000000002</v>
      </c>
      <c r="I424">
        <v>42080.79</v>
      </c>
      <c r="J424">
        <v>4692.79</v>
      </c>
      <c r="K424">
        <v>28</v>
      </c>
      <c r="L424">
        <v>2</v>
      </c>
      <c r="M424">
        <v>34</v>
      </c>
      <c r="N424">
        <v>0</v>
      </c>
      <c r="O424">
        <v>7</v>
      </c>
      <c r="P424">
        <v>4281.83</v>
      </c>
      <c r="Q424">
        <v>101.09</v>
      </c>
      <c r="R424">
        <v>112.82</v>
      </c>
      <c r="S424">
        <v>0</v>
      </c>
      <c r="T424">
        <v>0</v>
      </c>
      <c r="U424">
        <v>0</v>
      </c>
      <c r="V424">
        <v>0</v>
      </c>
      <c r="W424">
        <v>0</v>
      </c>
      <c r="X424">
        <v>0</v>
      </c>
      <c r="Y424">
        <v>1</v>
      </c>
      <c r="Z424">
        <v>0</v>
      </c>
      <c r="AA424">
        <v>0</v>
      </c>
      <c r="AB424">
        <v>0</v>
      </c>
      <c r="AC424">
        <v>0</v>
      </c>
      <c r="AD424">
        <v>0</v>
      </c>
      <c r="AE424">
        <v>0</v>
      </c>
      <c r="AF424">
        <v>0</v>
      </c>
      <c r="AG424">
        <v>0</v>
      </c>
      <c r="AH424">
        <v>0</v>
      </c>
      <c r="AI424">
        <v>0</v>
      </c>
      <c r="AJ424">
        <v>0</v>
      </c>
      <c r="AK424">
        <v>0</v>
      </c>
      <c r="AL424">
        <v>0</v>
      </c>
      <c r="AM424">
        <v>0</v>
      </c>
      <c r="AN424">
        <v>0</v>
      </c>
      <c r="AO424">
        <v>0</v>
      </c>
      <c r="AP424">
        <v>0</v>
      </c>
    </row>
    <row r="425" spans="4:42" x14ac:dyDescent="0.45">
      <c r="D425">
        <v>2024</v>
      </c>
      <c r="E425">
        <v>9</v>
      </c>
      <c r="F425">
        <v>24392000</v>
      </c>
      <c r="G425">
        <v>2124620.89</v>
      </c>
      <c r="H425">
        <v>1608740.4</v>
      </c>
      <c r="I425">
        <v>465116.69</v>
      </c>
      <c r="J425">
        <v>59509.440000000002</v>
      </c>
      <c r="K425">
        <v>187</v>
      </c>
      <c r="L425">
        <v>11</v>
      </c>
      <c r="M425">
        <v>651</v>
      </c>
      <c r="N425">
        <v>8</v>
      </c>
      <c r="O425">
        <v>33</v>
      </c>
      <c r="P425">
        <v>419559.21</v>
      </c>
      <c r="Q425">
        <v>102.17</v>
      </c>
      <c r="R425">
        <v>112.9</v>
      </c>
      <c r="S425">
        <v>0</v>
      </c>
      <c r="T425">
        <v>0</v>
      </c>
      <c r="U425">
        <v>0</v>
      </c>
      <c r="V425">
        <v>0</v>
      </c>
      <c r="W425">
        <v>0</v>
      </c>
      <c r="X425">
        <v>0</v>
      </c>
      <c r="Y425">
        <v>1</v>
      </c>
      <c r="Z425">
        <v>0</v>
      </c>
      <c r="AA425">
        <v>0</v>
      </c>
      <c r="AB425">
        <v>0</v>
      </c>
      <c r="AC425">
        <v>0</v>
      </c>
      <c r="AD425">
        <v>0</v>
      </c>
      <c r="AE425">
        <v>0</v>
      </c>
      <c r="AF425">
        <v>1</v>
      </c>
      <c r="AG425">
        <v>0</v>
      </c>
      <c r="AH425">
        <v>0</v>
      </c>
      <c r="AI425">
        <v>0</v>
      </c>
      <c r="AJ425">
        <v>0</v>
      </c>
      <c r="AK425">
        <v>0</v>
      </c>
      <c r="AL425">
        <v>0</v>
      </c>
      <c r="AM425">
        <v>0</v>
      </c>
      <c r="AN425">
        <v>0</v>
      </c>
      <c r="AO425">
        <v>0</v>
      </c>
      <c r="AP425">
        <v>0</v>
      </c>
    </row>
    <row r="426" spans="4:42" x14ac:dyDescent="0.45">
      <c r="D426">
        <v>2024</v>
      </c>
      <c r="E426">
        <v>9</v>
      </c>
      <c r="F426">
        <v>21066000</v>
      </c>
      <c r="G426">
        <v>1564779.4</v>
      </c>
      <c r="H426">
        <v>828790.11</v>
      </c>
      <c r="I426">
        <v>678802.56</v>
      </c>
      <c r="J426">
        <v>102588.93</v>
      </c>
      <c r="K426">
        <v>98</v>
      </c>
      <c r="L426">
        <v>9</v>
      </c>
      <c r="M426">
        <v>392</v>
      </c>
      <c r="N426">
        <v>11</v>
      </c>
      <c r="O426">
        <v>37</v>
      </c>
      <c r="P426">
        <v>637286.81000000006</v>
      </c>
      <c r="Q426">
        <v>99.59</v>
      </c>
      <c r="R426">
        <v>112.02</v>
      </c>
      <c r="S426">
        <v>0</v>
      </c>
      <c r="T426">
        <v>0</v>
      </c>
      <c r="U426">
        <v>0</v>
      </c>
      <c r="V426">
        <v>0</v>
      </c>
      <c r="W426">
        <v>0</v>
      </c>
      <c r="X426">
        <v>0</v>
      </c>
      <c r="Y426">
        <v>1</v>
      </c>
      <c r="Z426">
        <v>0</v>
      </c>
      <c r="AA426">
        <v>0</v>
      </c>
      <c r="AB426">
        <v>0</v>
      </c>
      <c r="AC426">
        <v>0</v>
      </c>
      <c r="AD426">
        <v>0</v>
      </c>
      <c r="AE426">
        <v>0</v>
      </c>
      <c r="AF426">
        <v>0</v>
      </c>
      <c r="AG426">
        <v>0</v>
      </c>
      <c r="AH426">
        <v>0</v>
      </c>
      <c r="AI426">
        <v>0</v>
      </c>
      <c r="AJ426">
        <v>0</v>
      </c>
      <c r="AK426">
        <v>0</v>
      </c>
      <c r="AL426">
        <v>0</v>
      </c>
      <c r="AM426">
        <v>0</v>
      </c>
      <c r="AN426">
        <v>0</v>
      </c>
      <c r="AO426">
        <v>0</v>
      </c>
      <c r="AP426">
        <v>1</v>
      </c>
    </row>
    <row r="427" spans="4:42" x14ac:dyDescent="0.45">
      <c r="D427">
        <v>2024</v>
      </c>
      <c r="E427">
        <v>9</v>
      </c>
      <c r="F427">
        <v>14968000</v>
      </c>
      <c r="G427">
        <v>1173421.47</v>
      </c>
      <c r="H427">
        <v>565260.99</v>
      </c>
      <c r="I427">
        <v>572237.16</v>
      </c>
      <c r="J427">
        <v>89299.56</v>
      </c>
      <c r="K427">
        <v>76</v>
      </c>
      <c r="L427">
        <v>1</v>
      </c>
      <c r="M427">
        <v>34</v>
      </c>
      <c r="N427">
        <v>5</v>
      </c>
      <c r="O427">
        <v>25</v>
      </c>
      <c r="P427">
        <v>206314.85</v>
      </c>
      <c r="Q427">
        <v>103.2</v>
      </c>
      <c r="R427">
        <v>114.09</v>
      </c>
      <c r="S427">
        <v>0</v>
      </c>
      <c r="T427">
        <v>0</v>
      </c>
      <c r="U427">
        <v>0</v>
      </c>
      <c r="V427">
        <v>0</v>
      </c>
      <c r="W427">
        <v>0</v>
      </c>
      <c r="X427">
        <v>0</v>
      </c>
      <c r="Y427">
        <v>1</v>
      </c>
      <c r="Z427">
        <v>0</v>
      </c>
      <c r="AA427">
        <v>0</v>
      </c>
      <c r="AB427">
        <v>0</v>
      </c>
      <c r="AC427">
        <v>0</v>
      </c>
      <c r="AD427">
        <v>0</v>
      </c>
      <c r="AE427">
        <v>0</v>
      </c>
      <c r="AF427">
        <v>0</v>
      </c>
      <c r="AG427">
        <v>0</v>
      </c>
      <c r="AH427">
        <v>0</v>
      </c>
      <c r="AI427">
        <v>0</v>
      </c>
      <c r="AJ427">
        <v>0</v>
      </c>
      <c r="AK427">
        <v>0</v>
      </c>
      <c r="AL427">
        <v>0</v>
      </c>
      <c r="AM427">
        <v>0</v>
      </c>
      <c r="AN427">
        <v>1</v>
      </c>
      <c r="AO427">
        <v>0</v>
      </c>
      <c r="AP427">
        <v>0</v>
      </c>
    </row>
    <row r="428" spans="4:42" x14ac:dyDescent="0.45">
      <c r="D428">
        <v>2024</v>
      </c>
      <c r="E428">
        <v>9</v>
      </c>
      <c r="F428">
        <v>27718000</v>
      </c>
      <c r="G428">
        <v>2628356.31</v>
      </c>
      <c r="H428">
        <v>1963841.74</v>
      </c>
      <c r="I428">
        <v>430475.04</v>
      </c>
      <c r="J428">
        <v>82467.94</v>
      </c>
      <c r="K428">
        <v>228</v>
      </c>
      <c r="L428">
        <v>17</v>
      </c>
      <c r="M428">
        <v>1138</v>
      </c>
      <c r="N428">
        <v>10</v>
      </c>
      <c r="O428">
        <v>41</v>
      </c>
      <c r="P428">
        <v>683746.19</v>
      </c>
      <c r="Q428">
        <v>100.83</v>
      </c>
      <c r="R428">
        <v>112.52</v>
      </c>
      <c r="S428">
        <v>0</v>
      </c>
      <c r="T428">
        <v>0</v>
      </c>
      <c r="U428">
        <v>0</v>
      </c>
      <c r="V428">
        <v>0</v>
      </c>
      <c r="W428">
        <v>0</v>
      </c>
      <c r="X428">
        <v>0</v>
      </c>
      <c r="Y428">
        <v>1</v>
      </c>
      <c r="Z428">
        <v>0</v>
      </c>
      <c r="AA428">
        <v>0</v>
      </c>
      <c r="AB428">
        <v>0</v>
      </c>
      <c r="AC428">
        <v>0</v>
      </c>
      <c r="AD428">
        <v>0</v>
      </c>
      <c r="AE428">
        <v>0</v>
      </c>
      <c r="AF428">
        <v>0</v>
      </c>
      <c r="AG428">
        <v>0</v>
      </c>
      <c r="AH428">
        <v>0</v>
      </c>
      <c r="AI428">
        <v>0</v>
      </c>
      <c r="AJ428">
        <v>0</v>
      </c>
      <c r="AK428">
        <v>0</v>
      </c>
      <c r="AL428">
        <v>0</v>
      </c>
      <c r="AM428">
        <v>1</v>
      </c>
      <c r="AN428">
        <v>0</v>
      </c>
      <c r="AO428">
        <v>0</v>
      </c>
      <c r="AP428">
        <v>0</v>
      </c>
    </row>
    <row r="429" spans="4:42" x14ac:dyDescent="0.45">
      <c r="D429">
        <v>2024</v>
      </c>
      <c r="E429">
        <v>9</v>
      </c>
      <c r="F429">
        <v>8094000</v>
      </c>
      <c r="G429">
        <v>693254.78</v>
      </c>
      <c r="H429">
        <v>370662.7</v>
      </c>
      <c r="I429">
        <v>261027.65</v>
      </c>
      <c r="J429">
        <v>23478.240000000002</v>
      </c>
      <c r="K429">
        <v>46</v>
      </c>
      <c r="L429">
        <v>1</v>
      </c>
      <c r="M429">
        <v>57</v>
      </c>
      <c r="N429">
        <v>0</v>
      </c>
      <c r="O429">
        <v>12</v>
      </c>
      <c r="P429">
        <v>14945.03</v>
      </c>
      <c r="Q429">
        <v>99.91</v>
      </c>
      <c r="R429">
        <v>112.6</v>
      </c>
      <c r="S429">
        <v>0</v>
      </c>
      <c r="T429">
        <v>0</v>
      </c>
      <c r="U429">
        <v>0</v>
      </c>
      <c r="V429">
        <v>0</v>
      </c>
      <c r="W429">
        <v>0</v>
      </c>
      <c r="X429">
        <v>0</v>
      </c>
      <c r="Y429">
        <v>1</v>
      </c>
      <c r="Z429">
        <v>0</v>
      </c>
      <c r="AA429">
        <v>0</v>
      </c>
      <c r="AB429">
        <v>0</v>
      </c>
      <c r="AC429">
        <v>0</v>
      </c>
      <c r="AD429">
        <v>0</v>
      </c>
      <c r="AE429">
        <v>0</v>
      </c>
      <c r="AF429">
        <v>0</v>
      </c>
      <c r="AG429">
        <v>1</v>
      </c>
      <c r="AH429">
        <v>0</v>
      </c>
      <c r="AI429">
        <v>0</v>
      </c>
      <c r="AJ429">
        <v>0</v>
      </c>
      <c r="AK429">
        <v>0</v>
      </c>
      <c r="AL429">
        <v>0</v>
      </c>
      <c r="AM429">
        <v>0</v>
      </c>
      <c r="AN429">
        <v>0</v>
      </c>
      <c r="AO429">
        <v>0</v>
      </c>
      <c r="AP429">
        <v>0</v>
      </c>
    </row>
    <row r="430" spans="4:42" x14ac:dyDescent="0.45">
      <c r="D430">
        <v>2024</v>
      </c>
      <c r="E430">
        <v>9</v>
      </c>
      <c r="F430">
        <v>8870000</v>
      </c>
      <c r="G430">
        <v>771691.98</v>
      </c>
      <c r="H430">
        <v>485037.41</v>
      </c>
      <c r="I430">
        <v>270430</v>
      </c>
      <c r="J430">
        <v>22965.119999999999</v>
      </c>
      <c r="K430">
        <v>67</v>
      </c>
      <c r="L430">
        <v>10</v>
      </c>
      <c r="M430">
        <v>114</v>
      </c>
      <c r="N430">
        <v>1</v>
      </c>
      <c r="O430">
        <v>9</v>
      </c>
      <c r="P430">
        <v>33273.69</v>
      </c>
      <c r="Q430">
        <v>102.75</v>
      </c>
      <c r="R430">
        <v>112.91</v>
      </c>
      <c r="S430">
        <v>0</v>
      </c>
      <c r="T430">
        <v>0</v>
      </c>
      <c r="U430">
        <v>0</v>
      </c>
      <c r="V430">
        <v>0</v>
      </c>
      <c r="W430">
        <v>0</v>
      </c>
      <c r="X430">
        <v>0</v>
      </c>
      <c r="Y430">
        <v>1</v>
      </c>
      <c r="Z430">
        <v>0</v>
      </c>
      <c r="AA430">
        <v>0</v>
      </c>
      <c r="AB430">
        <v>0</v>
      </c>
      <c r="AC430">
        <v>0</v>
      </c>
      <c r="AD430">
        <v>0</v>
      </c>
      <c r="AE430">
        <v>0</v>
      </c>
      <c r="AF430">
        <v>0</v>
      </c>
      <c r="AG430">
        <v>0</v>
      </c>
      <c r="AH430">
        <v>0</v>
      </c>
      <c r="AI430">
        <v>0</v>
      </c>
      <c r="AJ430">
        <v>1</v>
      </c>
      <c r="AK430">
        <v>0</v>
      </c>
      <c r="AL430">
        <v>0</v>
      </c>
      <c r="AM430">
        <v>0</v>
      </c>
      <c r="AN430">
        <v>0</v>
      </c>
      <c r="AO430">
        <v>0</v>
      </c>
      <c r="AP430">
        <v>0</v>
      </c>
    </row>
    <row r="431" spans="4:42" x14ac:dyDescent="0.45">
      <c r="D431">
        <v>2024</v>
      </c>
      <c r="E431">
        <v>9</v>
      </c>
      <c r="F431">
        <v>6874000</v>
      </c>
      <c r="G431">
        <v>508623.75</v>
      </c>
      <c r="H431">
        <v>274434.63</v>
      </c>
      <c r="I431">
        <v>223343.38</v>
      </c>
      <c r="J431">
        <v>18130.64</v>
      </c>
      <c r="K431">
        <v>30</v>
      </c>
      <c r="L431">
        <v>2</v>
      </c>
      <c r="M431">
        <v>36</v>
      </c>
      <c r="N431">
        <v>3</v>
      </c>
      <c r="O431">
        <v>17</v>
      </c>
      <c r="P431">
        <v>39524.36</v>
      </c>
      <c r="Q431">
        <v>101.95</v>
      </c>
      <c r="R431">
        <v>112.02</v>
      </c>
      <c r="S431">
        <v>0</v>
      </c>
      <c r="T431">
        <v>0</v>
      </c>
      <c r="U431">
        <v>0</v>
      </c>
      <c r="V431">
        <v>0</v>
      </c>
      <c r="W431">
        <v>0</v>
      </c>
      <c r="X431">
        <v>0</v>
      </c>
      <c r="Y431">
        <v>1</v>
      </c>
      <c r="Z431">
        <v>0</v>
      </c>
      <c r="AA431">
        <v>0</v>
      </c>
      <c r="AB431">
        <v>0</v>
      </c>
      <c r="AC431">
        <v>0</v>
      </c>
      <c r="AD431">
        <v>0</v>
      </c>
      <c r="AE431">
        <v>0</v>
      </c>
      <c r="AF431">
        <v>0</v>
      </c>
      <c r="AG431">
        <v>0</v>
      </c>
      <c r="AH431">
        <v>1</v>
      </c>
      <c r="AI431">
        <v>0</v>
      </c>
      <c r="AJ431">
        <v>0</v>
      </c>
      <c r="AK431">
        <v>0</v>
      </c>
      <c r="AL431">
        <v>0</v>
      </c>
      <c r="AM431">
        <v>0</v>
      </c>
      <c r="AN431">
        <v>0</v>
      </c>
      <c r="AO431">
        <v>0</v>
      </c>
      <c r="AP431">
        <v>0</v>
      </c>
    </row>
    <row r="432" spans="4:42" x14ac:dyDescent="0.45">
      <c r="D432">
        <v>2024</v>
      </c>
      <c r="E432">
        <v>10</v>
      </c>
      <c r="F432">
        <v>5322000</v>
      </c>
      <c r="G432">
        <v>478897.4</v>
      </c>
      <c r="H432">
        <v>408551.7</v>
      </c>
      <c r="I432">
        <v>66843.59</v>
      </c>
      <c r="J432">
        <v>4412.8100000000004</v>
      </c>
      <c r="K432">
        <v>38</v>
      </c>
      <c r="L432">
        <v>3</v>
      </c>
      <c r="M432">
        <v>37</v>
      </c>
      <c r="N432">
        <v>4</v>
      </c>
      <c r="O432">
        <v>17</v>
      </c>
      <c r="P432">
        <v>44538.53</v>
      </c>
      <c r="Q432">
        <v>104.27</v>
      </c>
      <c r="R432">
        <v>113.03</v>
      </c>
      <c r="S432">
        <v>0</v>
      </c>
      <c r="T432">
        <v>0</v>
      </c>
      <c r="U432">
        <v>0</v>
      </c>
      <c r="V432">
        <v>0</v>
      </c>
      <c r="W432">
        <v>0</v>
      </c>
      <c r="X432">
        <v>1</v>
      </c>
      <c r="Y432">
        <v>0</v>
      </c>
      <c r="Z432">
        <v>0</v>
      </c>
      <c r="AA432">
        <v>0</v>
      </c>
      <c r="AB432">
        <v>0</v>
      </c>
      <c r="AC432">
        <v>0</v>
      </c>
      <c r="AD432">
        <v>1</v>
      </c>
      <c r="AE432">
        <v>0</v>
      </c>
      <c r="AF432">
        <v>0</v>
      </c>
      <c r="AG432">
        <v>0</v>
      </c>
      <c r="AH432">
        <v>0</v>
      </c>
      <c r="AI432">
        <v>0</v>
      </c>
      <c r="AJ432">
        <v>0</v>
      </c>
      <c r="AK432">
        <v>0</v>
      </c>
      <c r="AL432">
        <v>0</v>
      </c>
      <c r="AM432">
        <v>0</v>
      </c>
      <c r="AN432">
        <v>0</v>
      </c>
      <c r="AO432">
        <v>0</v>
      </c>
      <c r="AP432">
        <v>0</v>
      </c>
    </row>
    <row r="433" spans="4:42" x14ac:dyDescent="0.45">
      <c r="D433">
        <v>2024</v>
      </c>
      <c r="E433">
        <v>10</v>
      </c>
      <c r="F433">
        <v>3881000</v>
      </c>
      <c r="G433">
        <v>338726.53</v>
      </c>
      <c r="H433">
        <v>287559.64</v>
      </c>
      <c r="I433">
        <v>43038.84</v>
      </c>
      <c r="J433">
        <v>2007.01</v>
      </c>
      <c r="K433">
        <v>28</v>
      </c>
      <c r="L433">
        <v>1</v>
      </c>
      <c r="M433">
        <v>38</v>
      </c>
      <c r="N433">
        <v>1</v>
      </c>
      <c r="O433">
        <v>13</v>
      </c>
      <c r="P433">
        <v>13802.55</v>
      </c>
      <c r="Q433">
        <v>103.26</v>
      </c>
      <c r="R433">
        <v>112.99</v>
      </c>
      <c r="S433">
        <v>0</v>
      </c>
      <c r="T433">
        <v>0</v>
      </c>
      <c r="U433">
        <v>0</v>
      </c>
      <c r="V433">
        <v>0</v>
      </c>
      <c r="W433">
        <v>0</v>
      </c>
      <c r="X433">
        <v>1</v>
      </c>
      <c r="Y433">
        <v>0</v>
      </c>
      <c r="Z433">
        <v>0</v>
      </c>
      <c r="AA433">
        <v>0</v>
      </c>
      <c r="AB433">
        <v>0</v>
      </c>
      <c r="AC433">
        <v>0</v>
      </c>
      <c r="AD433">
        <v>0</v>
      </c>
      <c r="AE433">
        <v>0</v>
      </c>
      <c r="AF433">
        <v>0</v>
      </c>
      <c r="AG433">
        <v>0</v>
      </c>
      <c r="AH433">
        <v>0</v>
      </c>
      <c r="AI433">
        <v>0</v>
      </c>
      <c r="AJ433">
        <v>0</v>
      </c>
      <c r="AK433">
        <v>0</v>
      </c>
      <c r="AL433">
        <v>0</v>
      </c>
      <c r="AM433">
        <v>0</v>
      </c>
      <c r="AN433">
        <v>0</v>
      </c>
      <c r="AO433">
        <v>0</v>
      </c>
      <c r="AP433">
        <v>0</v>
      </c>
    </row>
    <row r="434" spans="4:42" x14ac:dyDescent="0.45">
      <c r="D434">
        <v>2024</v>
      </c>
      <c r="E434">
        <v>10</v>
      </c>
      <c r="F434">
        <v>14968000</v>
      </c>
      <c r="G434">
        <v>1264569.93</v>
      </c>
      <c r="H434">
        <v>621377.41</v>
      </c>
      <c r="I434">
        <v>492542.82</v>
      </c>
      <c r="J434">
        <v>80827.710000000006</v>
      </c>
      <c r="K434">
        <v>81</v>
      </c>
      <c r="L434">
        <v>4</v>
      </c>
      <c r="M434">
        <v>93</v>
      </c>
      <c r="N434">
        <v>6</v>
      </c>
      <c r="O434">
        <v>29</v>
      </c>
      <c r="P434">
        <v>232212.86</v>
      </c>
      <c r="Q434">
        <v>102.9</v>
      </c>
      <c r="R434">
        <v>112.97</v>
      </c>
      <c r="S434">
        <v>0</v>
      </c>
      <c r="T434">
        <v>0</v>
      </c>
      <c r="U434">
        <v>0</v>
      </c>
      <c r="V434">
        <v>0</v>
      </c>
      <c r="W434">
        <v>0</v>
      </c>
      <c r="X434">
        <v>1</v>
      </c>
      <c r="Y434">
        <v>0</v>
      </c>
      <c r="Z434">
        <v>0</v>
      </c>
      <c r="AA434">
        <v>0</v>
      </c>
      <c r="AB434">
        <v>0</v>
      </c>
      <c r="AC434">
        <v>0</v>
      </c>
      <c r="AD434">
        <v>0</v>
      </c>
      <c r="AE434">
        <v>0</v>
      </c>
      <c r="AF434">
        <v>0</v>
      </c>
      <c r="AG434">
        <v>0</v>
      </c>
      <c r="AH434">
        <v>0</v>
      </c>
      <c r="AI434">
        <v>0</v>
      </c>
      <c r="AJ434">
        <v>0</v>
      </c>
      <c r="AK434">
        <v>0</v>
      </c>
      <c r="AL434">
        <v>0</v>
      </c>
      <c r="AM434">
        <v>0</v>
      </c>
      <c r="AN434">
        <v>1</v>
      </c>
      <c r="AO434">
        <v>0</v>
      </c>
      <c r="AP434">
        <v>0</v>
      </c>
    </row>
    <row r="435" spans="4:42" x14ac:dyDescent="0.45">
      <c r="D435">
        <v>2024</v>
      </c>
      <c r="E435">
        <v>10</v>
      </c>
      <c r="F435">
        <v>24392000</v>
      </c>
      <c r="G435">
        <v>2157853.29</v>
      </c>
      <c r="H435">
        <v>1785535.1</v>
      </c>
      <c r="I435">
        <v>390336.76</v>
      </c>
      <c r="J435">
        <v>29318.080000000002</v>
      </c>
      <c r="K435">
        <v>185</v>
      </c>
      <c r="L435">
        <v>11</v>
      </c>
      <c r="M435">
        <v>631</v>
      </c>
      <c r="N435">
        <v>8</v>
      </c>
      <c r="O435">
        <v>29</v>
      </c>
      <c r="P435">
        <v>378719.53</v>
      </c>
      <c r="Q435">
        <v>100.21</v>
      </c>
      <c r="R435">
        <v>113.88</v>
      </c>
      <c r="S435">
        <v>0</v>
      </c>
      <c r="T435">
        <v>0</v>
      </c>
      <c r="U435">
        <v>0</v>
      </c>
      <c r="V435">
        <v>0</v>
      </c>
      <c r="W435">
        <v>0</v>
      </c>
      <c r="X435">
        <v>1</v>
      </c>
      <c r="Y435">
        <v>0</v>
      </c>
      <c r="Z435">
        <v>0</v>
      </c>
      <c r="AA435">
        <v>0</v>
      </c>
      <c r="AB435">
        <v>0</v>
      </c>
      <c r="AC435">
        <v>0</v>
      </c>
      <c r="AD435">
        <v>0</v>
      </c>
      <c r="AE435">
        <v>0</v>
      </c>
      <c r="AF435">
        <v>1</v>
      </c>
      <c r="AG435">
        <v>0</v>
      </c>
      <c r="AH435">
        <v>0</v>
      </c>
      <c r="AI435">
        <v>0</v>
      </c>
      <c r="AJ435">
        <v>0</v>
      </c>
      <c r="AK435">
        <v>0</v>
      </c>
      <c r="AL435">
        <v>0</v>
      </c>
      <c r="AM435">
        <v>0</v>
      </c>
      <c r="AN435">
        <v>0</v>
      </c>
      <c r="AO435">
        <v>0</v>
      </c>
      <c r="AP435">
        <v>0</v>
      </c>
    </row>
    <row r="436" spans="4:42" x14ac:dyDescent="0.45">
      <c r="D436">
        <v>2024</v>
      </c>
      <c r="E436">
        <v>10</v>
      </c>
      <c r="F436">
        <v>4657000</v>
      </c>
      <c r="G436">
        <v>408081.74</v>
      </c>
      <c r="H436">
        <v>333636.67</v>
      </c>
      <c r="I436">
        <v>66569.94</v>
      </c>
      <c r="J436">
        <v>10235.81</v>
      </c>
      <c r="K436">
        <v>33</v>
      </c>
      <c r="L436">
        <v>3</v>
      </c>
      <c r="M436">
        <v>48</v>
      </c>
      <c r="N436">
        <v>1</v>
      </c>
      <c r="O436">
        <v>13</v>
      </c>
      <c r="P436">
        <v>15591.43</v>
      </c>
      <c r="Q436">
        <v>105.83</v>
      </c>
      <c r="R436">
        <v>113.03</v>
      </c>
      <c r="S436">
        <v>0</v>
      </c>
      <c r="T436">
        <v>0</v>
      </c>
      <c r="U436">
        <v>0</v>
      </c>
      <c r="V436">
        <v>0</v>
      </c>
      <c r="W436">
        <v>0</v>
      </c>
      <c r="X436">
        <v>1</v>
      </c>
      <c r="Y436">
        <v>0</v>
      </c>
      <c r="Z436">
        <v>0</v>
      </c>
      <c r="AA436">
        <v>0</v>
      </c>
      <c r="AB436">
        <v>0</v>
      </c>
      <c r="AC436">
        <v>0</v>
      </c>
      <c r="AD436">
        <v>0</v>
      </c>
      <c r="AE436">
        <v>0</v>
      </c>
      <c r="AF436">
        <v>0</v>
      </c>
      <c r="AG436">
        <v>0</v>
      </c>
      <c r="AH436">
        <v>0</v>
      </c>
      <c r="AI436">
        <v>0</v>
      </c>
      <c r="AJ436">
        <v>0</v>
      </c>
      <c r="AK436">
        <v>0</v>
      </c>
      <c r="AL436">
        <v>1</v>
      </c>
      <c r="AM436">
        <v>0</v>
      </c>
      <c r="AN436">
        <v>0</v>
      </c>
      <c r="AO436">
        <v>0</v>
      </c>
      <c r="AP436">
        <v>0</v>
      </c>
    </row>
    <row r="437" spans="4:42" x14ac:dyDescent="0.45">
      <c r="D437">
        <v>2024</v>
      </c>
      <c r="E437">
        <v>10</v>
      </c>
      <c r="F437">
        <v>6874000</v>
      </c>
      <c r="G437">
        <v>687006.87</v>
      </c>
      <c r="H437">
        <v>273422.13</v>
      </c>
      <c r="I437">
        <v>232307.59</v>
      </c>
      <c r="J437">
        <v>169271.95</v>
      </c>
      <c r="K437">
        <v>30</v>
      </c>
      <c r="L437">
        <v>3</v>
      </c>
      <c r="M437">
        <v>37</v>
      </c>
      <c r="N437">
        <v>3</v>
      </c>
      <c r="O437">
        <v>18</v>
      </c>
      <c r="P437">
        <v>72011.94</v>
      </c>
      <c r="Q437">
        <v>102.43</v>
      </c>
      <c r="R437">
        <v>113.89</v>
      </c>
      <c r="S437">
        <v>0</v>
      </c>
      <c r="T437">
        <v>0</v>
      </c>
      <c r="U437">
        <v>0</v>
      </c>
      <c r="V437">
        <v>0</v>
      </c>
      <c r="W437">
        <v>0</v>
      </c>
      <c r="X437">
        <v>1</v>
      </c>
      <c r="Y437">
        <v>0</v>
      </c>
      <c r="Z437">
        <v>0</v>
      </c>
      <c r="AA437">
        <v>0</v>
      </c>
      <c r="AB437">
        <v>0</v>
      </c>
      <c r="AC437">
        <v>0</v>
      </c>
      <c r="AD437">
        <v>0</v>
      </c>
      <c r="AE437">
        <v>0</v>
      </c>
      <c r="AF437">
        <v>0</v>
      </c>
      <c r="AG437">
        <v>0</v>
      </c>
      <c r="AH437">
        <v>1</v>
      </c>
      <c r="AI437">
        <v>0</v>
      </c>
      <c r="AJ437">
        <v>0</v>
      </c>
      <c r="AK437">
        <v>0</v>
      </c>
      <c r="AL437">
        <v>0</v>
      </c>
      <c r="AM437">
        <v>0</v>
      </c>
      <c r="AN437">
        <v>0</v>
      </c>
      <c r="AO437">
        <v>0</v>
      </c>
      <c r="AP437">
        <v>0</v>
      </c>
    </row>
    <row r="438" spans="4:42" x14ac:dyDescent="0.45">
      <c r="D438">
        <v>2024</v>
      </c>
      <c r="E438">
        <v>10</v>
      </c>
      <c r="F438">
        <v>8870000</v>
      </c>
      <c r="G438">
        <v>775852.97</v>
      </c>
      <c r="H438">
        <v>496406.54</v>
      </c>
      <c r="I438">
        <v>236081.13</v>
      </c>
      <c r="J438">
        <v>34869.93</v>
      </c>
      <c r="K438">
        <v>69</v>
      </c>
      <c r="L438">
        <v>6</v>
      </c>
      <c r="M438">
        <v>71</v>
      </c>
      <c r="N438">
        <v>0</v>
      </c>
      <c r="O438">
        <v>13</v>
      </c>
      <c r="P438">
        <v>19265.95</v>
      </c>
      <c r="Q438">
        <v>107.67</v>
      </c>
      <c r="R438">
        <v>113.65</v>
      </c>
      <c r="S438">
        <v>0</v>
      </c>
      <c r="T438">
        <v>0</v>
      </c>
      <c r="U438">
        <v>0</v>
      </c>
      <c r="V438">
        <v>0</v>
      </c>
      <c r="W438">
        <v>0</v>
      </c>
      <c r="X438">
        <v>1</v>
      </c>
      <c r="Y438">
        <v>0</v>
      </c>
      <c r="Z438">
        <v>0</v>
      </c>
      <c r="AA438">
        <v>0</v>
      </c>
      <c r="AB438">
        <v>0</v>
      </c>
      <c r="AC438">
        <v>0</v>
      </c>
      <c r="AD438">
        <v>0</v>
      </c>
      <c r="AE438">
        <v>0</v>
      </c>
      <c r="AF438">
        <v>0</v>
      </c>
      <c r="AG438">
        <v>0</v>
      </c>
      <c r="AH438">
        <v>0</v>
      </c>
      <c r="AI438">
        <v>0</v>
      </c>
      <c r="AJ438">
        <v>1</v>
      </c>
      <c r="AK438">
        <v>0</v>
      </c>
      <c r="AL438">
        <v>0</v>
      </c>
      <c r="AM438">
        <v>0</v>
      </c>
      <c r="AN438">
        <v>0</v>
      </c>
      <c r="AO438">
        <v>0</v>
      </c>
      <c r="AP438">
        <v>0</v>
      </c>
    </row>
    <row r="439" spans="4:42" x14ac:dyDescent="0.45">
      <c r="D439">
        <v>2024</v>
      </c>
      <c r="E439">
        <v>10</v>
      </c>
      <c r="F439">
        <v>8094000</v>
      </c>
      <c r="G439">
        <v>668317.22</v>
      </c>
      <c r="H439">
        <v>365356.19</v>
      </c>
      <c r="I439">
        <v>288121.27</v>
      </c>
      <c r="J439">
        <v>27765.95</v>
      </c>
      <c r="K439">
        <v>44</v>
      </c>
      <c r="L439">
        <v>6</v>
      </c>
      <c r="M439">
        <v>95</v>
      </c>
      <c r="N439">
        <v>3</v>
      </c>
      <c r="O439">
        <v>19</v>
      </c>
      <c r="P439">
        <v>78582.38</v>
      </c>
      <c r="Q439">
        <v>101.73</v>
      </c>
      <c r="R439">
        <v>113.5</v>
      </c>
      <c r="S439">
        <v>0</v>
      </c>
      <c r="T439">
        <v>0</v>
      </c>
      <c r="U439">
        <v>0</v>
      </c>
      <c r="V439">
        <v>0</v>
      </c>
      <c r="W439">
        <v>0</v>
      </c>
      <c r="X439">
        <v>1</v>
      </c>
      <c r="Y439">
        <v>0</v>
      </c>
      <c r="Z439">
        <v>0</v>
      </c>
      <c r="AA439">
        <v>0</v>
      </c>
      <c r="AB439">
        <v>0</v>
      </c>
      <c r="AC439">
        <v>0</v>
      </c>
      <c r="AD439">
        <v>0</v>
      </c>
      <c r="AE439">
        <v>0</v>
      </c>
      <c r="AF439">
        <v>0</v>
      </c>
      <c r="AG439">
        <v>1</v>
      </c>
      <c r="AH439">
        <v>0</v>
      </c>
      <c r="AI439">
        <v>0</v>
      </c>
      <c r="AJ439">
        <v>0</v>
      </c>
      <c r="AK439">
        <v>0</v>
      </c>
      <c r="AL439">
        <v>0</v>
      </c>
      <c r="AM439">
        <v>0</v>
      </c>
      <c r="AN439">
        <v>0</v>
      </c>
      <c r="AO439">
        <v>0</v>
      </c>
      <c r="AP439">
        <v>0</v>
      </c>
    </row>
    <row r="440" spans="4:42" x14ac:dyDescent="0.45">
      <c r="D440">
        <v>2024</v>
      </c>
      <c r="E440">
        <v>10</v>
      </c>
      <c r="F440">
        <v>27718000</v>
      </c>
      <c r="G440">
        <v>2300881.38</v>
      </c>
      <c r="H440">
        <v>1821409.55</v>
      </c>
      <c r="I440">
        <v>461921.92</v>
      </c>
      <c r="J440">
        <v>41590.239999999998</v>
      </c>
      <c r="K440">
        <v>207</v>
      </c>
      <c r="L440">
        <v>14</v>
      </c>
      <c r="M440">
        <v>887</v>
      </c>
      <c r="N440">
        <v>7</v>
      </c>
      <c r="O440">
        <v>32</v>
      </c>
      <c r="P440">
        <v>628416.42000000004</v>
      </c>
      <c r="Q440">
        <v>104.66</v>
      </c>
      <c r="R440">
        <v>112.36</v>
      </c>
      <c r="S440">
        <v>0</v>
      </c>
      <c r="T440">
        <v>0</v>
      </c>
      <c r="U440">
        <v>0</v>
      </c>
      <c r="V440">
        <v>0</v>
      </c>
      <c r="W440">
        <v>0</v>
      </c>
      <c r="X440">
        <v>1</v>
      </c>
      <c r="Y440">
        <v>0</v>
      </c>
      <c r="Z440">
        <v>0</v>
      </c>
      <c r="AA440">
        <v>0</v>
      </c>
      <c r="AB440">
        <v>0</v>
      </c>
      <c r="AC440">
        <v>0</v>
      </c>
      <c r="AD440">
        <v>0</v>
      </c>
      <c r="AE440">
        <v>0</v>
      </c>
      <c r="AF440">
        <v>0</v>
      </c>
      <c r="AG440">
        <v>0</v>
      </c>
      <c r="AH440">
        <v>0</v>
      </c>
      <c r="AI440">
        <v>0</v>
      </c>
      <c r="AJ440">
        <v>0</v>
      </c>
      <c r="AK440">
        <v>0</v>
      </c>
      <c r="AL440">
        <v>0</v>
      </c>
      <c r="AM440">
        <v>1</v>
      </c>
      <c r="AN440">
        <v>0</v>
      </c>
      <c r="AO440">
        <v>0</v>
      </c>
      <c r="AP440">
        <v>0</v>
      </c>
    </row>
    <row r="441" spans="4:42" x14ac:dyDescent="0.45">
      <c r="D441">
        <v>2024</v>
      </c>
      <c r="E441">
        <v>10</v>
      </c>
      <c r="F441">
        <v>21066000</v>
      </c>
      <c r="G441">
        <v>1624764.28</v>
      </c>
      <c r="H441">
        <v>816677.94</v>
      </c>
      <c r="I441">
        <v>748158.68</v>
      </c>
      <c r="J441">
        <v>35592.839999999997</v>
      </c>
      <c r="K441">
        <v>98</v>
      </c>
      <c r="L441">
        <v>9</v>
      </c>
      <c r="M441">
        <v>391</v>
      </c>
      <c r="N441">
        <v>8</v>
      </c>
      <c r="O441">
        <v>35</v>
      </c>
      <c r="P441">
        <v>322990.07</v>
      </c>
      <c r="Q441">
        <v>102.08</v>
      </c>
      <c r="R441">
        <v>113.12</v>
      </c>
      <c r="S441">
        <v>0</v>
      </c>
      <c r="T441">
        <v>0</v>
      </c>
      <c r="U441">
        <v>0</v>
      </c>
      <c r="V441">
        <v>0</v>
      </c>
      <c r="W441">
        <v>0</v>
      </c>
      <c r="X441">
        <v>1</v>
      </c>
      <c r="Y441">
        <v>0</v>
      </c>
      <c r="Z441">
        <v>0</v>
      </c>
      <c r="AA441">
        <v>0</v>
      </c>
      <c r="AB441">
        <v>0</v>
      </c>
      <c r="AC441">
        <v>0</v>
      </c>
      <c r="AD441">
        <v>0</v>
      </c>
      <c r="AE441">
        <v>0</v>
      </c>
      <c r="AF441">
        <v>0</v>
      </c>
      <c r="AG441">
        <v>0</v>
      </c>
      <c r="AH441">
        <v>0</v>
      </c>
      <c r="AI441">
        <v>0</v>
      </c>
      <c r="AJ441">
        <v>0</v>
      </c>
      <c r="AK441">
        <v>0</v>
      </c>
      <c r="AL441">
        <v>0</v>
      </c>
      <c r="AM441">
        <v>0</v>
      </c>
      <c r="AN441">
        <v>0</v>
      </c>
      <c r="AO441">
        <v>0</v>
      </c>
      <c r="AP441">
        <v>1</v>
      </c>
    </row>
    <row r="442" spans="4:42" x14ac:dyDescent="0.45">
      <c r="D442">
        <v>2024</v>
      </c>
      <c r="E442">
        <v>11</v>
      </c>
      <c r="F442">
        <v>6874000</v>
      </c>
      <c r="G442">
        <v>559476.39</v>
      </c>
      <c r="H442">
        <v>292379.48</v>
      </c>
      <c r="I442">
        <v>229122.36</v>
      </c>
      <c r="J442">
        <v>27927.08</v>
      </c>
      <c r="K442">
        <v>31</v>
      </c>
      <c r="L442">
        <v>5</v>
      </c>
      <c r="M442">
        <v>56</v>
      </c>
      <c r="N442">
        <v>3</v>
      </c>
      <c r="O442">
        <v>16</v>
      </c>
      <c r="P442">
        <v>56276.36</v>
      </c>
      <c r="Q442">
        <v>102.34</v>
      </c>
      <c r="R442">
        <v>113.42</v>
      </c>
      <c r="S442">
        <v>0</v>
      </c>
      <c r="T442">
        <v>1</v>
      </c>
      <c r="U442">
        <v>0</v>
      </c>
      <c r="V442">
        <v>0</v>
      </c>
      <c r="W442">
        <v>0</v>
      </c>
      <c r="X442">
        <v>0</v>
      </c>
      <c r="Y442">
        <v>0</v>
      </c>
      <c r="Z442">
        <v>0</v>
      </c>
      <c r="AA442">
        <v>0</v>
      </c>
      <c r="AB442">
        <v>0</v>
      </c>
      <c r="AC442">
        <v>0</v>
      </c>
      <c r="AD442">
        <v>0</v>
      </c>
      <c r="AE442">
        <v>0</v>
      </c>
      <c r="AF442">
        <v>0</v>
      </c>
      <c r="AG442">
        <v>0</v>
      </c>
      <c r="AH442">
        <v>1</v>
      </c>
      <c r="AI442">
        <v>0</v>
      </c>
      <c r="AJ442">
        <v>0</v>
      </c>
      <c r="AK442">
        <v>0</v>
      </c>
      <c r="AL442">
        <v>0</v>
      </c>
      <c r="AM442">
        <v>0</v>
      </c>
      <c r="AN442">
        <v>0</v>
      </c>
      <c r="AO442">
        <v>0</v>
      </c>
      <c r="AP442">
        <v>0</v>
      </c>
    </row>
    <row r="443" spans="4:42" x14ac:dyDescent="0.45">
      <c r="D443">
        <v>2024</v>
      </c>
      <c r="E443">
        <v>11</v>
      </c>
      <c r="F443">
        <v>5322000</v>
      </c>
      <c r="G443">
        <v>449833.19</v>
      </c>
      <c r="H443">
        <v>376685.8</v>
      </c>
      <c r="I443">
        <v>65578.95</v>
      </c>
      <c r="J443">
        <v>5852.51</v>
      </c>
      <c r="K443">
        <v>39</v>
      </c>
      <c r="L443">
        <v>5</v>
      </c>
      <c r="M443">
        <v>55</v>
      </c>
      <c r="N443">
        <v>3</v>
      </c>
      <c r="O443">
        <v>15</v>
      </c>
      <c r="P443">
        <v>43425.760000000002</v>
      </c>
      <c r="Q443">
        <v>105.91</v>
      </c>
      <c r="R443">
        <v>113.8</v>
      </c>
      <c r="S443">
        <v>0</v>
      </c>
      <c r="T443">
        <v>1</v>
      </c>
      <c r="U443">
        <v>0</v>
      </c>
      <c r="V443">
        <v>0</v>
      </c>
      <c r="W443">
        <v>0</v>
      </c>
      <c r="X443">
        <v>0</v>
      </c>
      <c r="Y443">
        <v>0</v>
      </c>
      <c r="Z443">
        <v>0</v>
      </c>
      <c r="AA443">
        <v>0</v>
      </c>
      <c r="AB443">
        <v>0</v>
      </c>
      <c r="AC443">
        <v>0</v>
      </c>
      <c r="AD443">
        <v>1</v>
      </c>
      <c r="AE443">
        <v>0</v>
      </c>
      <c r="AF443">
        <v>0</v>
      </c>
      <c r="AG443">
        <v>0</v>
      </c>
      <c r="AH443">
        <v>0</v>
      </c>
      <c r="AI443">
        <v>0</v>
      </c>
      <c r="AJ443">
        <v>0</v>
      </c>
      <c r="AK443">
        <v>0</v>
      </c>
      <c r="AL443">
        <v>0</v>
      </c>
      <c r="AM443">
        <v>0</v>
      </c>
      <c r="AN443">
        <v>0</v>
      </c>
      <c r="AO443">
        <v>0</v>
      </c>
      <c r="AP443">
        <v>0</v>
      </c>
    </row>
    <row r="444" spans="4:42" x14ac:dyDescent="0.45">
      <c r="D444">
        <v>2024</v>
      </c>
      <c r="E444">
        <v>11</v>
      </c>
      <c r="F444">
        <v>27718000</v>
      </c>
      <c r="G444">
        <v>2590133.8199999998</v>
      </c>
      <c r="H444">
        <v>1943160.07</v>
      </c>
      <c r="I444">
        <v>453864.81</v>
      </c>
      <c r="J444">
        <v>189698.18</v>
      </c>
      <c r="K444">
        <v>213</v>
      </c>
      <c r="L444">
        <v>19</v>
      </c>
      <c r="M444">
        <v>929</v>
      </c>
      <c r="N444">
        <v>12</v>
      </c>
      <c r="O444">
        <v>39</v>
      </c>
      <c r="P444">
        <v>760638.27</v>
      </c>
      <c r="Q444">
        <v>102.31</v>
      </c>
      <c r="R444">
        <v>114.57</v>
      </c>
      <c r="S444">
        <v>0</v>
      </c>
      <c r="T444">
        <v>1</v>
      </c>
      <c r="U444">
        <v>0</v>
      </c>
      <c r="V444">
        <v>0</v>
      </c>
      <c r="W444">
        <v>0</v>
      </c>
      <c r="X444">
        <v>0</v>
      </c>
      <c r="Y444">
        <v>0</v>
      </c>
      <c r="Z444">
        <v>0</v>
      </c>
      <c r="AA444">
        <v>0</v>
      </c>
      <c r="AB444">
        <v>0</v>
      </c>
      <c r="AC444">
        <v>0</v>
      </c>
      <c r="AD444">
        <v>0</v>
      </c>
      <c r="AE444">
        <v>0</v>
      </c>
      <c r="AF444">
        <v>0</v>
      </c>
      <c r="AG444">
        <v>0</v>
      </c>
      <c r="AH444">
        <v>0</v>
      </c>
      <c r="AI444">
        <v>0</v>
      </c>
      <c r="AJ444">
        <v>0</v>
      </c>
      <c r="AK444">
        <v>0</v>
      </c>
      <c r="AL444">
        <v>0</v>
      </c>
      <c r="AM444">
        <v>1</v>
      </c>
      <c r="AN444">
        <v>0</v>
      </c>
      <c r="AO444">
        <v>0</v>
      </c>
      <c r="AP444">
        <v>0</v>
      </c>
    </row>
    <row r="445" spans="4:42" x14ac:dyDescent="0.45">
      <c r="D445">
        <v>2024</v>
      </c>
      <c r="E445">
        <v>11</v>
      </c>
      <c r="F445">
        <v>14968000</v>
      </c>
      <c r="G445">
        <v>1676308.87</v>
      </c>
      <c r="H445">
        <v>661480.80000000005</v>
      </c>
      <c r="I445">
        <v>590788.72</v>
      </c>
      <c r="J445">
        <v>431914.48</v>
      </c>
      <c r="K445">
        <v>84</v>
      </c>
      <c r="L445">
        <v>6</v>
      </c>
      <c r="M445">
        <v>106</v>
      </c>
      <c r="N445">
        <v>5</v>
      </c>
      <c r="O445">
        <v>23</v>
      </c>
      <c r="P445">
        <v>155036.49</v>
      </c>
      <c r="Q445">
        <v>106.52</v>
      </c>
      <c r="R445">
        <v>113.69</v>
      </c>
      <c r="S445">
        <v>0</v>
      </c>
      <c r="T445">
        <v>1</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1</v>
      </c>
      <c r="AO445">
        <v>0</v>
      </c>
      <c r="AP445">
        <v>0</v>
      </c>
    </row>
    <row r="446" spans="4:42" x14ac:dyDescent="0.45">
      <c r="D446">
        <v>2024</v>
      </c>
      <c r="E446">
        <v>11</v>
      </c>
      <c r="F446">
        <v>24392000</v>
      </c>
      <c r="G446">
        <v>2117230.38</v>
      </c>
      <c r="H446">
        <v>1704425.07</v>
      </c>
      <c r="I446">
        <v>379476.34</v>
      </c>
      <c r="J446">
        <v>72278.2</v>
      </c>
      <c r="K446">
        <v>182</v>
      </c>
      <c r="L446">
        <v>16</v>
      </c>
      <c r="M446">
        <v>772</v>
      </c>
      <c r="N446">
        <v>7</v>
      </c>
      <c r="O446">
        <v>31</v>
      </c>
      <c r="P446">
        <v>456625.53</v>
      </c>
      <c r="Q446">
        <v>105.09</v>
      </c>
      <c r="R446">
        <v>113.57</v>
      </c>
      <c r="S446">
        <v>0</v>
      </c>
      <c r="T446">
        <v>1</v>
      </c>
      <c r="U446">
        <v>0</v>
      </c>
      <c r="V446">
        <v>0</v>
      </c>
      <c r="W446">
        <v>0</v>
      </c>
      <c r="X446">
        <v>0</v>
      </c>
      <c r="Y446">
        <v>0</v>
      </c>
      <c r="Z446">
        <v>0</v>
      </c>
      <c r="AA446">
        <v>0</v>
      </c>
      <c r="AB446">
        <v>0</v>
      </c>
      <c r="AC446">
        <v>0</v>
      </c>
      <c r="AD446">
        <v>0</v>
      </c>
      <c r="AE446">
        <v>0</v>
      </c>
      <c r="AF446">
        <v>1</v>
      </c>
      <c r="AG446">
        <v>0</v>
      </c>
      <c r="AH446">
        <v>0</v>
      </c>
      <c r="AI446">
        <v>0</v>
      </c>
      <c r="AJ446">
        <v>0</v>
      </c>
      <c r="AK446">
        <v>0</v>
      </c>
      <c r="AL446">
        <v>0</v>
      </c>
      <c r="AM446">
        <v>0</v>
      </c>
      <c r="AN446">
        <v>0</v>
      </c>
      <c r="AO446">
        <v>0</v>
      </c>
      <c r="AP446">
        <v>0</v>
      </c>
    </row>
    <row r="447" spans="4:42" x14ac:dyDescent="0.45">
      <c r="D447">
        <v>2024</v>
      </c>
      <c r="E447">
        <v>11</v>
      </c>
      <c r="F447">
        <v>8870000</v>
      </c>
      <c r="G447">
        <v>774363.81</v>
      </c>
      <c r="H447">
        <v>479320.97</v>
      </c>
      <c r="I447">
        <v>194970.17</v>
      </c>
      <c r="J447">
        <v>110510.28</v>
      </c>
      <c r="K447">
        <v>66</v>
      </c>
      <c r="L447">
        <v>3</v>
      </c>
      <c r="M447">
        <v>61</v>
      </c>
      <c r="N447">
        <v>3</v>
      </c>
      <c r="O447">
        <v>9</v>
      </c>
      <c r="P447">
        <v>63361.919999999998</v>
      </c>
      <c r="Q447">
        <v>102.39</v>
      </c>
      <c r="R447">
        <v>113.46</v>
      </c>
      <c r="S447">
        <v>0</v>
      </c>
      <c r="T447">
        <v>1</v>
      </c>
      <c r="U447">
        <v>0</v>
      </c>
      <c r="V447">
        <v>0</v>
      </c>
      <c r="W447">
        <v>0</v>
      </c>
      <c r="X447">
        <v>0</v>
      </c>
      <c r="Y447">
        <v>0</v>
      </c>
      <c r="Z447">
        <v>0</v>
      </c>
      <c r="AA447">
        <v>0</v>
      </c>
      <c r="AB447">
        <v>0</v>
      </c>
      <c r="AC447">
        <v>0</v>
      </c>
      <c r="AD447">
        <v>0</v>
      </c>
      <c r="AE447">
        <v>0</v>
      </c>
      <c r="AF447">
        <v>0</v>
      </c>
      <c r="AG447">
        <v>0</v>
      </c>
      <c r="AH447">
        <v>0</v>
      </c>
      <c r="AI447">
        <v>0</v>
      </c>
      <c r="AJ447">
        <v>1</v>
      </c>
      <c r="AK447">
        <v>0</v>
      </c>
      <c r="AL447">
        <v>0</v>
      </c>
      <c r="AM447">
        <v>0</v>
      </c>
      <c r="AN447">
        <v>0</v>
      </c>
      <c r="AO447">
        <v>0</v>
      </c>
      <c r="AP447">
        <v>0</v>
      </c>
    </row>
    <row r="448" spans="4:42" x14ac:dyDescent="0.45">
      <c r="D448">
        <v>2024</v>
      </c>
      <c r="E448">
        <v>11</v>
      </c>
      <c r="F448">
        <v>8094000</v>
      </c>
      <c r="G448">
        <v>726985.08</v>
      </c>
      <c r="H448">
        <v>359376.97</v>
      </c>
      <c r="I448">
        <v>319677.09999999998</v>
      </c>
      <c r="J448">
        <v>20946.66</v>
      </c>
      <c r="K448">
        <v>44</v>
      </c>
      <c r="L448">
        <v>6</v>
      </c>
      <c r="M448">
        <v>79</v>
      </c>
      <c r="N448">
        <v>3</v>
      </c>
      <c r="O448">
        <v>15</v>
      </c>
      <c r="P448">
        <v>65995.91</v>
      </c>
      <c r="Q448">
        <v>107.59</v>
      </c>
      <c r="R448">
        <v>113.22</v>
      </c>
      <c r="S448">
        <v>0</v>
      </c>
      <c r="T448">
        <v>1</v>
      </c>
      <c r="U448">
        <v>0</v>
      </c>
      <c r="V448">
        <v>0</v>
      </c>
      <c r="W448">
        <v>0</v>
      </c>
      <c r="X448">
        <v>0</v>
      </c>
      <c r="Y448">
        <v>0</v>
      </c>
      <c r="Z448">
        <v>0</v>
      </c>
      <c r="AA448">
        <v>0</v>
      </c>
      <c r="AB448">
        <v>0</v>
      </c>
      <c r="AC448">
        <v>0</v>
      </c>
      <c r="AD448">
        <v>0</v>
      </c>
      <c r="AE448">
        <v>0</v>
      </c>
      <c r="AF448">
        <v>0</v>
      </c>
      <c r="AG448">
        <v>1</v>
      </c>
      <c r="AH448">
        <v>0</v>
      </c>
      <c r="AI448">
        <v>0</v>
      </c>
      <c r="AJ448">
        <v>0</v>
      </c>
      <c r="AK448">
        <v>0</v>
      </c>
      <c r="AL448">
        <v>0</v>
      </c>
      <c r="AM448">
        <v>0</v>
      </c>
      <c r="AN448">
        <v>0</v>
      </c>
      <c r="AO448">
        <v>0</v>
      </c>
      <c r="AP448">
        <v>0</v>
      </c>
    </row>
    <row r="449" spans="4:42" x14ac:dyDescent="0.45">
      <c r="D449">
        <v>2024</v>
      </c>
      <c r="E449">
        <v>11</v>
      </c>
      <c r="F449">
        <v>21066000</v>
      </c>
      <c r="G449">
        <v>1472647.44</v>
      </c>
      <c r="H449">
        <v>772481.4</v>
      </c>
      <c r="I449">
        <v>597298.31000000006</v>
      </c>
      <c r="J449">
        <v>92097.84</v>
      </c>
      <c r="K449">
        <v>95</v>
      </c>
      <c r="L449">
        <v>8</v>
      </c>
      <c r="M449">
        <v>366</v>
      </c>
      <c r="N449">
        <v>7</v>
      </c>
      <c r="O449">
        <v>24</v>
      </c>
      <c r="P449">
        <v>403207.83</v>
      </c>
      <c r="Q449">
        <v>102.89</v>
      </c>
      <c r="R449">
        <v>113.06</v>
      </c>
      <c r="S449">
        <v>0</v>
      </c>
      <c r="T449">
        <v>1</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c r="AP449">
        <v>1</v>
      </c>
    </row>
    <row r="450" spans="4:42" x14ac:dyDescent="0.45">
      <c r="D450">
        <v>2024</v>
      </c>
      <c r="E450">
        <v>11</v>
      </c>
      <c r="F450">
        <v>3881000</v>
      </c>
      <c r="G450">
        <v>349444.47</v>
      </c>
      <c r="H450">
        <v>299013.23</v>
      </c>
      <c r="I450">
        <v>44665.24</v>
      </c>
      <c r="J450">
        <v>4281.7700000000004</v>
      </c>
      <c r="K450">
        <v>29</v>
      </c>
      <c r="L450">
        <v>0</v>
      </c>
      <c r="M450">
        <v>0</v>
      </c>
      <c r="N450">
        <v>0</v>
      </c>
      <c r="O450">
        <v>7</v>
      </c>
      <c r="P450">
        <v>4847.9799999999996</v>
      </c>
      <c r="Q450">
        <v>104.67</v>
      </c>
      <c r="R450">
        <v>113.87</v>
      </c>
      <c r="S450">
        <v>0</v>
      </c>
      <c r="T450">
        <v>1</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c r="AP450">
        <v>0</v>
      </c>
    </row>
    <row r="451" spans="4:42" x14ac:dyDescent="0.45">
      <c r="D451">
        <v>2024</v>
      </c>
      <c r="E451">
        <v>11</v>
      </c>
      <c r="F451">
        <v>4657000</v>
      </c>
      <c r="G451">
        <v>394536.19</v>
      </c>
      <c r="H451">
        <v>310865.06</v>
      </c>
      <c r="I451">
        <v>66924.429999999993</v>
      </c>
      <c r="J451">
        <v>11569.29</v>
      </c>
      <c r="K451">
        <v>33</v>
      </c>
      <c r="L451">
        <v>6</v>
      </c>
      <c r="M451">
        <v>55</v>
      </c>
      <c r="N451">
        <v>3</v>
      </c>
      <c r="O451">
        <v>15</v>
      </c>
      <c r="P451">
        <v>34312.68</v>
      </c>
      <c r="Q451">
        <v>103.98</v>
      </c>
      <c r="R451">
        <v>113.1</v>
      </c>
      <c r="S451">
        <v>0</v>
      </c>
      <c r="T451">
        <v>1</v>
      </c>
      <c r="U451">
        <v>0</v>
      </c>
      <c r="V451">
        <v>0</v>
      </c>
      <c r="W451">
        <v>0</v>
      </c>
      <c r="X451">
        <v>0</v>
      </c>
      <c r="Y451">
        <v>0</v>
      </c>
      <c r="Z451">
        <v>0</v>
      </c>
      <c r="AA451">
        <v>0</v>
      </c>
      <c r="AB451">
        <v>0</v>
      </c>
      <c r="AC451">
        <v>0</v>
      </c>
      <c r="AD451">
        <v>0</v>
      </c>
      <c r="AE451">
        <v>0</v>
      </c>
      <c r="AF451">
        <v>0</v>
      </c>
      <c r="AG451">
        <v>0</v>
      </c>
      <c r="AH451">
        <v>0</v>
      </c>
      <c r="AI451">
        <v>0</v>
      </c>
      <c r="AJ451">
        <v>0</v>
      </c>
      <c r="AK451">
        <v>0</v>
      </c>
      <c r="AL451">
        <v>1</v>
      </c>
      <c r="AM451">
        <v>0</v>
      </c>
      <c r="AN451">
        <v>0</v>
      </c>
      <c r="AO451">
        <v>0</v>
      </c>
      <c r="AP451">
        <v>0</v>
      </c>
    </row>
    <row r="452" spans="4:42" x14ac:dyDescent="0.45">
      <c r="D452">
        <v>2024</v>
      </c>
      <c r="E452">
        <v>12</v>
      </c>
      <c r="F452">
        <v>8094000</v>
      </c>
      <c r="G452">
        <v>666358.17000000004</v>
      </c>
      <c r="H452">
        <v>363153.03</v>
      </c>
      <c r="I452">
        <v>295682.34999999998</v>
      </c>
      <c r="J452">
        <v>22466.12</v>
      </c>
      <c r="K452">
        <v>46</v>
      </c>
      <c r="L452">
        <v>3</v>
      </c>
      <c r="M452">
        <v>71</v>
      </c>
      <c r="N452">
        <v>0</v>
      </c>
      <c r="O452">
        <v>12</v>
      </c>
      <c r="P452">
        <v>16498.02</v>
      </c>
      <c r="Q452">
        <v>104.28</v>
      </c>
      <c r="R452">
        <v>113.08</v>
      </c>
      <c r="S452">
        <v>0</v>
      </c>
      <c r="T452">
        <v>0</v>
      </c>
      <c r="U452">
        <v>0</v>
      </c>
      <c r="V452">
        <v>0</v>
      </c>
      <c r="W452">
        <v>0</v>
      </c>
      <c r="X452">
        <v>0</v>
      </c>
      <c r="Y452">
        <v>0</v>
      </c>
      <c r="Z452">
        <v>0</v>
      </c>
      <c r="AA452">
        <v>0</v>
      </c>
      <c r="AB452">
        <v>0</v>
      </c>
      <c r="AC452">
        <v>1</v>
      </c>
      <c r="AD452">
        <v>0</v>
      </c>
      <c r="AE452">
        <v>0</v>
      </c>
      <c r="AF452">
        <v>0</v>
      </c>
      <c r="AG452">
        <v>1</v>
      </c>
      <c r="AH452">
        <v>0</v>
      </c>
      <c r="AI452">
        <v>0</v>
      </c>
      <c r="AJ452">
        <v>0</v>
      </c>
      <c r="AK452">
        <v>0</v>
      </c>
      <c r="AL452">
        <v>0</v>
      </c>
      <c r="AM452">
        <v>0</v>
      </c>
      <c r="AN452">
        <v>0</v>
      </c>
      <c r="AO452">
        <v>0</v>
      </c>
      <c r="AP452">
        <v>0</v>
      </c>
    </row>
    <row r="453" spans="4:42" x14ac:dyDescent="0.45">
      <c r="D453">
        <v>2024</v>
      </c>
      <c r="E453">
        <v>12</v>
      </c>
      <c r="F453">
        <v>8870000</v>
      </c>
      <c r="G453">
        <v>754065.3</v>
      </c>
      <c r="H453">
        <v>478143.67</v>
      </c>
      <c r="I453">
        <v>234726.29</v>
      </c>
      <c r="J453">
        <v>29122.12</v>
      </c>
      <c r="K453">
        <v>67</v>
      </c>
      <c r="L453">
        <v>7</v>
      </c>
      <c r="M453">
        <v>129</v>
      </c>
      <c r="N453">
        <v>2</v>
      </c>
      <c r="O453">
        <v>13</v>
      </c>
      <c r="P453">
        <v>48821.52</v>
      </c>
      <c r="Q453">
        <v>103.56</v>
      </c>
      <c r="R453">
        <v>113.64</v>
      </c>
      <c r="S453">
        <v>0</v>
      </c>
      <c r="T453">
        <v>0</v>
      </c>
      <c r="U453">
        <v>0</v>
      </c>
      <c r="V453">
        <v>0</v>
      </c>
      <c r="W453">
        <v>0</v>
      </c>
      <c r="X453">
        <v>0</v>
      </c>
      <c r="Y453">
        <v>0</v>
      </c>
      <c r="Z453">
        <v>0</v>
      </c>
      <c r="AA453">
        <v>0</v>
      </c>
      <c r="AB453">
        <v>0</v>
      </c>
      <c r="AC453">
        <v>1</v>
      </c>
      <c r="AD453">
        <v>0</v>
      </c>
      <c r="AE453">
        <v>0</v>
      </c>
      <c r="AF453">
        <v>0</v>
      </c>
      <c r="AG453">
        <v>0</v>
      </c>
      <c r="AH453">
        <v>0</v>
      </c>
      <c r="AI453">
        <v>0</v>
      </c>
      <c r="AJ453">
        <v>1</v>
      </c>
      <c r="AK453">
        <v>0</v>
      </c>
      <c r="AL453">
        <v>0</v>
      </c>
      <c r="AM453">
        <v>0</v>
      </c>
      <c r="AN453">
        <v>0</v>
      </c>
      <c r="AO453">
        <v>0</v>
      </c>
      <c r="AP453">
        <v>0</v>
      </c>
    </row>
    <row r="454" spans="4:42" x14ac:dyDescent="0.45">
      <c r="D454">
        <v>2024</v>
      </c>
      <c r="E454">
        <v>12</v>
      </c>
      <c r="F454">
        <v>14968000</v>
      </c>
      <c r="G454">
        <v>1226160.69</v>
      </c>
      <c r="H454">
        <v>610872.17000000004</v>
      </c>
      <c r="I454">
        <v>557625.87</v>
      </c>
      <c r="J454">
        <v>70052.5</v>
      </c>
      <c r="K454">
        <v>80</v>
      </c>
      <c r="L454">
        <v>5</v>
      </c>
      <c r="M454">
        <v>112</v>
      </c>
      <c r="N454">
        <v>5</v>
      </c>
      <c r="O454">
        <v>25</v>
      </c>
      <c r="P454">
        <v>186989.11</v>
      </c>
      <c r="Q454">
        <v>103.84</v>
      </c>
      <c r="R454">
        <v>113.69</v>
      </c>
      <c r="S454">
        <v>0</v>
      </c>
      <c r="T454">
        <v>0</v>
      </c>
      <c r="U454">
        <v>0</v>
      </c>
      <c r="V454">
        <v>0</v>
      </c>
      <c r="W454">
        <v>0</v>
      </c>
      <c r="X454">
        <v>0</v>
      </c>
      <c r="Y454">
        <v>0</v>
      </c>
      <c r="Z454">
        <v>0</v>
      </c>
      <c r="AA454">
        <v>0</v>
      </c>
      <c r="AB454">
        <v>0</v>
      </c>
      <c r="AC454">
        <v>1</v>
      </c>
      <c r="AD454">
        <v>0</v>
      </c>
      <c r="AE454">
        <v>0</v>
      </c>
      <c r="AF454">
        <v>0</v>
      </c>
      <c r="AG454">
        <v>0</v>
      </c>
      <c r="AH454">
        <v>0</v>
      </c>
      <c r="AI454">
        <v>0</v>
      </c>
      <c r="AJ454">
        <v>0</v>
      </c>
      <c r="AK454">
        <v>0</v>
      </c>
      <c r="AL454">
        <v>0</v>
      </c>
      <c r="AM454">
        <v>0</v>
      </c>
      <c r="AN454">
        <v>0</v>
      </c>
      <c r="AO454">
        <v>1</v>
      </c>
      <c r="AP454">
        <v>0</v>
      </c>
    </row>
    <row r="455" spans="4:42" x14ac:dyDescent="0.45">
      <c r="D455">
        <v>2024</v>
      </c>
      <c r="E455">
        <v>12</v>
      </c>
      <c r="F455">
        <v>3881000</v>
      </c>
      <c r="G455">
        <v>349076.52</v>
      </c>
      <c r="H455">
        <v>297399.94</v>
      </c>
      <c r="I455">
        <v>45460.21</v>
      </c>
      <c r="J455">
        <v>4811.68</v>
      </c>
      <c r="K455">
        <v>28</v>
      </c>
      <c r="L455">
        <v>1</v>
      </c>
      <c r="M455">
        <v>63</v>
      </c>
      <c r="N455">
        <v>0</v>
      </c>
      <c r="O455">
        <v>11</v>
      </c>
      <c r="P455">
        <v>5602.4</v>
      </c>
      <c r="Q455">
        <v>106.29</v>
      </c>
      <c r="R455">
        <v>114.48</v>
      </c>
      <c r="S455">
        <v>0</v>
      </c>
      <c r="T455">
        <v>0</v>
      </c>
      <c r="U455">
        <v>0</v>
      </c>
      <c r="V455">
        <v>0</v>
      </c>
      <c r="W455">
        <v>0</v>
      </c>
      <c r="X455">
        <v>0</v>
      </c>
      <c r="Y455">
        <v>0</v>
      </c>
      <c r="Z455">
        <v>0</v>
      </c>
      <c r="AA455">
        <v>0</v>
      </c>
      <c r="AB455">
        <v>0</v>
      </c>
      <c r="AC455">
        <v>1</v>
      </c>
      <c r="AD455">
        <v>0</v>
      </c>
      <c r="AE455">
        <v>0</v>
      </c>
      <c r="AF455">
        <v>0</v>
      </c>
      <c r="AG455">
        <v>0</v>
      </c>
      <c r="AH455">
        <v>0</v>
      </c>
      <c r="AI455">
        <v>0</v>
      </c>
      <c r="AJ455">
        <v>0</v>
      </c>
      <c r="AK455">
        <v>0</v>
      </c>
      <c r="AL455">
        <v>0</v>
      </c>
      <c r="AM455">
        <v>0</v>
      </c>
      <c r="AN455">
        <v>0</v>
      </c>
      <c r="AO455">
        <v>0</v>
      </c>
      <c r="AP455">
        <v>0</v>
      </c>
    </row>
    <row r="456" spans="4:42" x14ac:dyDescent="0.45">
      <c r="D456">
        <v>2024</v>
      </c>
      <c r="E456">
        <v>12</v>
      </c>
      <c r="F456">
        <v>27718000</v>
      </c>
      <c r="G456">
        <v>2905207.56</v>
      </c>
      <c r="H456">
        <v>1926608.78</v>
      </c>
      <c r="I456">
        <v>555855.39</v>
      </c>
      <c r="J456">
        <v>354793.06</v>
      </c>
      <c r="K456">
        <v>211</v>
      </c>
      <c r="L456">
        <v>15</v>
      </c>
      <c r="M456">
        <v>1050</v>
      </c>
      <c r="N456">
        <v>9</v>
      </c>
      <c r="O456">
        <v>36</v>
      </c>
      <c r="P456">
        <v>505823.01</v>
      </c>
      <c r="Q456">
        <v>108.39</v>
      </c>
      <c r="R456">
        <v>114.53</v>
      </c>
      <c r="S456">
        <v>0</v>
      </c>
      <c r="T456">
        <v>0</v>
      </c>
      <c r="U456">
        <v>0</v>
      </c>
      <c r="V456">
        <v>0</v>
      </c>
      <c r="W456">
        <v>0</v>
      </c>
      <c r="X456">
        <v>0</v>
      </c>
      <c r="Y456">
        <v>0</v>
      </c>
      <c r="Z456">
        <v>0</v>
      </c>
      <c r="AA456">
        <v>0</v>
      </c>
      <c r="AB456">
        <v>0</v>
      </c>
      <c r="AC456">
        <v>1</v>
      </c>
      <c r="AD456">
        <v>0</v>
      </c>
      <c r="AE456">
        <v>0</v>
      </c>
      <c r="AF456">
        <v>0</v>
      </c>
      <c r="AG456">
        <v>0</v>
      </c>
      <c r="AH456">
        <v>0</v>
      </c>
      <c r="AI456">
        <v>0</v>
      </c>
      <c r="AJ456">
        <v>0</v>
      </c>
      <c r="AK456">
        <v>0</v>
      </c>
      <c r="AL456">
        <v>0</v>
      </c>
      <c r="AM456">
        <v>1</v>
      </c>
      <c r="AN456">
        <v>0</v>
      </c>
      <c r="AO456">
        <v>0</v>
      </c>
      <c r="AP456">
        <v>0</v>
      </c>
    </row>
    <row r="457" spans="4:42" x14ac:dyDescent="0.45">
      <c r="D457">
        <v>2024</v>
      </c>
      <c r="E457">
        <v>12</v>
      </c>
      <c r="F457">
        <v>5322000</v>
      </c>
      <c r="G457">
        <v>469860.25</v>
      </c>
      <c r="H457">
        <v>391786.52</v>
      </c>
      <c r="I457">
        <v>69665.119999999995</v>
      </c>
      <c r="J457">
        <v>9249.59</v>
      </c>
      <c r="K457">
        <v>38</v>
      </c>
      <c r="L457">
        <v>0</v>
      </c>
      <c r="M457">
        <v>54</v>
      </c>
      <c r="N457">
        <v>1</v>
      </c>
      <c r="O457">
        <v>16</v>
      </c>
      <c r="P457">
        <v>20262.13</v>
      </c>
      <c r="Q457">
        <v>102.79</v>
      </c>
      <c r="R457">
        <v>113.21</v>
      </c>
      <c r="S457">
        <v>0</v>
      </c>
      <c r="T457">
        <v>0</v>
      </c>
      <c r="U457">
        <v>0</v>
      </c>
      <c r="V457">
        <v>0</v>
      </c>
      <c r="W457">
        <v>0</v>
      </c>
      <c r="X457">
        <v>0</v>
      </c>
      <c r="Y457">
        <v>0</v>
      </c>
      <c r="Z457">
        <v>0</v>
      </c>
      <c r="AA457">
        <v>0</v>
      </c>
      <c r="AB457">
        <v>0</v>
      </c>
      <c r="AC457">
        <v>1</v>
      </c>
      <c r="AD457">
        <v>1</v>
      </c>
      <c r="AE457">
        <v>0</v>
      </c>
      <c r="AF457">
        <v>0</v>
      </c>
      <c r="AG457">
        <v>0</v>
      </c>
      <c r="AH457">
        <v>0</v>
      </c>
      <c r="AI457">
        <v>0</v>
      </c>
      <c r="AJ457">
        <v>0</v>
      </c>
      <c r="AK457">
        <v>0</v>
      </c>
      <c r="AL457">
        <v>0</v>
      </c>
      <c r="AM457">
        <v>0</v>
      </c>
      <c r="AN457">
        <v>0</v>
      </c>
      <c r="AO457">
        <v>0</v>
      </c>
      <c r="AP457">
        <v>0</v>
      </c>
    </row>
    <row r="458" spans="4:42" x14ac:dyDescent="0.45">
      <c r="D458">
        <v>2024</v>
      </c>
      <c r="E458">
        <v>12</v>
      </c>
      <c r="F458">
        <v>24392000</v>
      </c>
      <c r="G458">
        <v>2169427.0299999998</v>
      </c>
      <c r="H458">
        <v>1621618.98</v>
      </c>
      <c r="I458">
        <v>398488.52</v>
      </c>
      <c r="J458">
        <v>64113.23</v>
      </c>
      <c r="K458">
        <v>174</v>
      </c>
      <c r="L458">
        <v>12</v>
      </c>
      <c r="M458">
        <v>695</v>
      </c>
      <c r="N458">
        <v>11</v>
      </c>
      <c r="O458">
        <v>37</v>
      </c>
      <c r="P458">
        <v>743405.63</v>
      </c>
      <c r="Q458">
        <v>105.93</v>
      </c>
      <c r="R458">
        <v>113.21</v>
      </c>
      <c r="S458">
        <v>0</v>
      </c>
      <c r="T458">
        <v>0</v>
      </c>
      <c r="U458">
        <v>0</v>
      </c>
      <c r="V458">
        <v>0</v>
      </c>
      <c r="W458">
        <v>0</v>
      </c>
      <c r="X458">
        <v>0</v>
      </c>
      <c r="Y458">
        <v>0</v>
      </c>
      <c r="Z458">
        <v>0</v>
      </c>
      <c r="AA458">
        <v>0</v>
      </c>
      <c r="AB458">
        <v>0</v>
      </c>
      <c r="AC458">
        <v>1</v>
      </c>
      <c r="AD458">
        <v>0</v>
      </c>
      <c r="AE458">
        <v>0</v>
      </c>
      <c r="AF458">
        <v>1</v>
      </c>
      <c r="AG458">
        <v>0</v>
      </c>
      <c r="AH458">
        <v>0</v>
      </c>
      <c r="AI458">
        <v>0</v>
      </c>
      <c r="AJ458">
        <v>0</v>
      </c>
      <c r="AK458">
        <v>0</v>
      </c>
      <c r="AL458">
        <v>0</v>
      </c>
      <c r="AM458">
        <v>0</v>
      </c>
      <c r="AN458">
        <v>0</v>
      </c>
      <c r="AO458">
        <v>0</v>
      </c>
      <c r="AP458">
        <v>0</v>
      </c>
    </row>
    <row r="459" spans="4:42" x14ac:dyDescent="0.45">
      <c r="D459">
        <v>2024</v>
      </c>
      <c r="E459">
        <v>12</v>
      </c>
      <c r="F459">
        <v>21066000</v>
      </c>
      <c r="G459">
        <v>2044246.16</v>
      </c>
      <c r="H459">
        <v>790271.85</v>
      </c>
      <c r="I459">
        <v>943747.76</v>
      </c>
      <c r="J459">
        <v>322843.01</v>
      </c>
      <c r="K459">
        <v>97</v>
      </c>
      <c r="L459">
        <v>3</v>
      </c>
      <c r="M459">
        <v>422</v>
      </c>
      <c r="N459">
        <v>7</v>
      </c>
      <c r="O459">
        <v>31</v>
      </c>
      <c r="P459">
        <v>473495.01</v>
      </c>
      <c r="Q459">
        <v>106.73</v>
      </c>
      <c r="R459">
        <v>114.67</v>
      </c>
      <c r="S459">
        <v>0</v>
      </c>
      <c r="T459">
        <v>0</v>
      </c>
      <c r="U459">
        <v>0</v>
      </c>
      <c r="V459">
        <v>0</v>
      </c>
      <c r="W459">
        <v>0</v>
      </c>
      <c r="X459">
        <v>0</v>
      </c>
      <c r="Y459">
        <v>0</v>
      </c>
      <c r="Z459">
        <v>0</v>
      </c>
      <c r="AA459">
        <v>0</v>
      </c>
      <c r="AB459">
        <v>0</v>
      </c>
      <c r="AC459">
        <v>1</v>
      </c>
      <c r="AD459">
        <v>0</v>
      </c>
      <c r="AE459">
        <v>0</v>
      </c>
      <c r="AF459">
        <v>0</v>
      </c>
      <c r="AG459">
        <v>0</v>
      </c>
      <c r="AH459">
        <v>0</v>
      </c>
      <c r="AI459">
        <v>0</v>
      </c>
      <c r="AJ459">
        <v>0</v>
      </c>
      <c r="AK459">
        <v>0</v>
      </c>
      <c r="AL459">
        <v>0</v>
      </c>
      <c r="AM459">
        <v>0</v>
      </c>
      <c r="AN459">
        <v>0</v>
      </c>
      <c r="AO459">
        <v>0</v>
      </c>
      <c r="AP459">
        <v>1</v>
      </c>
    </row>
    <row r="460" spans="4:42" x14ac:dyDescent="0.45">
      <c r="D460">
        <v>2024</v>
      </c>
      <c r="E460">
        <v>12</v>
      </c>
      <c r="F460">
        <v>4657000</v>
      </c>
      <c r="G460">
        <v>419102.44</v>
      </c>
      <c r="H460">
        <v>329406.19</v>
      </c>
      <c r="I460">
        <v>74039.149999999994</v>
      </c>
      <c r="J460">
        <v>10792.98</v>
      </c>
      <c r="K460">
        <v>34</v>
      </c>
      <c r="L460">
        <v>0</v>
      </c>
      <c r="M460">
        <v>39</v>
      </c>
      <c r="N460">
        <v>4</v>
      </c>
      <c r="O460">
        <v>15</v>
      </c>
      <c r="P460">
        <v>54055.7</v>
      </c>
      <c r="Q460">
        <v>104.87</v>
      </c>
      <c r="R460">
        <v>114.44</v>
      </c>
      <c r="S460">
        <v>0</v>
      </c>
      <c r="T460">
        <v>0</v>
      </c>
      <c r="U460">
        <v>0</v>
      </c>
      <c r="V460">
        <v>0</v>
      </c>
      <c r="W460">
        <v>0</v>
      </c>
      <c r="X460">
        <v>0</v>
      </c>
      <c r="Y460">
        <v>0</v>
      </c>
      <c r="Z460">
        <v>0</v>
      </c>
      <c r="AA460">
        <v>0</v>
      </c>
      <c r="AB460">
        <v>0</v>
      </c>
      <c r="AC460">
        <v>1</v>
      </c>
      <c r="AD460">
        <v>0</v>
      </c>
      <c r="AE460">
        <v>0</v>
      </c>
      <c r="AF460">
        <v>0</v>
      </c>
      <c r="AG460">
        <v>0</v>
      </c>
      <c r="AH460">
        <v>0</v>
      </c>
      <c r="AI460">
        <v>0</v>
      </c>
      <c r="AJ460">
        <v>0</v>
      </c>
      <c r="AK460">
        <v>0</v>
      </c>
      <c r="AL460">
        <v>1</v>
      </c>
      <c r="AM460">
        <v>0</v>
      </c>
      <c r="AN460">
        <v>0</v>
      </c>
      <c r="AO460">
        <v>0</v>
      </c>
      <c r="AP460">
        <v>0</v>
      </c>
    </row>
    <row r="461" spans="4:42" x14ac:dyDescent="0.45">
      <c r="D461">
        <v>2024</v>
      </c>
      <c r="E461">
        <v>12</v>
      </c>
      <c r="F461">
        <v>6874000</v>
      </c>
      <c r="G461">
        <v>596854.04</v>
      </c>
      <c r="H461">
        <v>307117.37</v>
      </c>
      <c r="I461">
        <v>278766.21999999997</v>
      </c>
      <c r="J461">
        <v>22321.360000000001</v>
      </c>
      <c r="K461">
        <v>31</v>
      </c>
      <c r="L461">
        <v>3</v>
      </c>
      <c r="M461">
        <v>48</v>
      </c>
      <c r="N461">
        <v>1</v>
      </c>
      <c r="O461">
        <v>17</v>
      </c>
      <c r="P461">
        <v>36058.78</v>
      </c>
      <c r="Q461">
        <v>108.57</v>
      </c>
      <c r="R461">
        <v>114.02</v>
      </c>
      <c r="S461">
        <v>0</v>
      </c>
      <c r="T461">
        <v>0</v>
      </c>
      <c r="U461">
        <v>0</v>
      </c>
      <c r="V461">
        <v>0</v>
      </c>
      <c r="W461">
        <v>0</v>
      </c>
      <c r="X461">
        <v>0</v>
      </c>
      <c r="Y461">
        <v>0</v>
      </c>
      <c r="Z461">
        <v>0</v>
      </c>
      <c r="AA461">
        <v>0</v>
      </c>
      <c r="AB461">
        <v>0</v>
      </c>
      <c r="AC461">
        <v>1</v>
      </c>
      <c r="AD461">
        <v>0</v>
      </c>
      <c r="AE461">
        <v>0</v>
      </c>
      <c r="AF461">
        <v>0</v>
      </c>
      <c r="AG461">
        <v>0</v>
      </c>
      <c r="AH461">
        <v>1</v>
      </c>
      <c r="AI461">
        <v>0</v>
      </c>
      <c r="AJ461">
        <v>0</v>
      </c>
      <c r="AK461">
        <v>0</v>
      </c>
      <c r="AL461">
        <v>0</v>
      </c>
      <c r="AM461">
        <v>0</v>
      </c>
      <c r="AN461">
        <v>0</v>
      </c>
      <c r="AO461">
        <v>0</v>
      </c>
      <c r="AP461">
        <v>0</v>
      </c>
    </row>
    <row r="462" spans="4:42" x14ac:dyDescent="0.45">
      <c r="D462">
        <v>2025</v>
      </c>
      <c r="E462">
        <v>1</v>
      </c>
      <c r="F462">
        <v>9180000</v>
      </c>
      <c r="G462">
        <v>796952.48</v>
      </c>
      <c r="H462">
        <v>527495.46</v>
      </c>
      <c r="I462">
        <v>231392.83</v>
      </c>
      <c r="J462">
        <v>13779.07</v>
      </c>
      <c r="K462">
        <v>67</v>
      </c>
      <c r="L462">
        <v>10</v>
      </c>
      <c r="M462">
        <v>153</v>
      </c>
      <c r="N462">
        <v>2</v>
      </c>
      <c r="O462">
        <v>16</v>
      </c>
      <c r="P462">
        <v>49583.92</v>
      </c>
      <c r="Q462">
        <v>104.6</v>
      </c>
      <c r="R462">
        <v>113.77</v>
      </c>
      <c r="S462">
        <v>0</v>
      </c>
      <c r="T462">
        <v>0</v>
      </c>
      <c r="U462">
        <v>0</v>
      </c>
      <c r="V462">
        <v>0</v>
      </c>
      <c r="W462">
        <v>0</v>
      </c>
      <c r="X462">
        <v>0</v>
      </c>
      <c r="Y462">
        <v>0</v>
      </c>
      <c r="Z462">
        <v>0</v>
      </c>
      <c r="AA462">
        <v>0</v>
      </c>
      <c r="AB462">
        <v>0</v>
      </c>
      <c r="AC462">
        <v>0</v>
      </c>
      <c r="AD462">
        <v>0</v>
      </c>
      <c r="AE462">
        <v>0</v>
      </c>
      <c r="AF462">
        <v>0</v>
      </c>
      <c r="AG462">
        <v>0</v>
      </c>
      <c r="AH462">
        <v>0</v>
      </c>
      <c r="AI462">
        <v>0</v>
      </c>
      <c r="AJ462">
        <v>1</v>
      </c>
      <c r="AK462">
        <v>0</v>
      </c>
      <c r="AL462">
        <v>0</v>
      </c>
      <c r="AM462">
        <v>0</v>
      </c>
      <c r="AN462">
        <v>0</v>
      </c>
      <c r="AO462">
        <v>0</v>
      </c>
      <c r="AP462">
        <v>0</v>
      </c>
    </row>
    <row r="463" spans="4:42" x14ac:dyDescent="0.45">
      <c r="D463">
        <v>2025</v>
      </c>
      <c r="E463">
        <v>1</v>
      </c>
      <c r="F463">
        <v>21803000</v>
      </c>
      <c r="G463">
        <v>1746071.33</v>
      </c>
      <c r="H463">
        <v>843609</v>
      </c>
      <c r="I463">
        <v>862396.52</v>
      </c>
      <c r="J463">
        <v>79289.19</v>
      </c>
      <c r="K463">
        <v>99</v>
      </c>
      <c r="L463">
        <v>7</v>
      </c>
      <c r="M463">
        <v>445</v>
      </c>
      <c r="N463">
        <v>6</v>
      </c>
      <c r="O463">
        <v>25</v>
      </c>
      <c r="P463">
        <v>314585.57</v>
      </c>
      <c r="Q463">
        <v>105.04</v>
      </c>
      <c r="R463">
        <v>114.51</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c r="AN463">
        <v>0</v>
      </c>
      <c r="AO463">
        <v>0</v>
      </c>
      <c r="AP463">
        <v>1</v>
      </c>
    </row>
    <row r="464" spans="4:42" x14ac:dyDescent="0.45">
      <c r="D464">
        <v>2025</v>
      </c>
      <c r="E464">
        <v>1</v>
      </c>
      <c r="F464">
        <v>25246000</v>
      </c>
      <c r="G464">
        <v>2328231.0099999998</v>
      </c>
      <c r="H464">
        <v>1730050.99</v>
      </c>
      <c r="I464">
        <v>385776.5</v>
      </c>
      <c r="J464">
        <v>45167.97</v>
      </c>
      <c r="K464">
        <v>183</v>
      </c>
      <c r="L464">
        <v>13</v>
      </c>
      <c r="M464">
        <v>803</v>
      </c>
      <c r="N464">
        <v>6</v>
      </c>
      <c r="O464">
        <v>27</v>
      </c>
      <c r="P464">
        <v>451698.16</v>
      </c>
      <c r="Q464">
        <v>101.95</v>
      </c>
      <c r="R464">
        <v>113.61</v>
      </c>
      <c r="S464">
        <v>0</v>
      </c>
      <c r="T464">
        <v>0</v>
      </c>
      <c r="U464">
        <v>0</v>
      </c>
      <c r="V464">
        <v>0</v>
      </c>
      <c r="W464">
        <v>0</v>
      </c>
      <c r="X464">
        <v>0</v>
      </c>
      <c r="Y464">
        <v>0</v>
      </c>
      <c r="Z464">
        <v>0</v>
      </c>
      <c r="AA464">
        <v>0</v>
      </c>
      <c r="AB464">
        <v>0</v>
      </c>
      <c r="AC464">
        <v>0</v>
      </c>
      <c r="AD464">
        <v>0</v>
      </c>
      <c r="AE464">
        <v>0</v>
      </c>
      <c r="AF464">
        <v>1</v>
      </c>
      <c r="AG464">
        <v>0</v>
      </c>
      <c r="AH464">
        <v>0</v>
      </c>
      <c r="AI464">
        <v>0</v>
      </c>
      <c r="AJ464">
        <v>0</v>
      </c>
      <c r="AK464">
        <v>0</v>
      </c>
      <c r="AL464">
        <v>0</v>
      </c>
      <c r="AM464">
        <v>0</v>
      </c>
      <c r="AN464">
        <v>0</v>
      </c>
      <c r="AO464">
        <v>0</v>
      </c>
      <c r="AP464">
        <v>0</v>
      </c>
    </row>
    <row r="465" spans="4:42" x14ac:dyDescent="0.45">
      <c r="D465">
        <v>2025</v>
      </c>
      <c r="E465">
        <v>1</v>
      </c>
      <c r="F465">
        <v>15492000</v>
      </c>
      <c r="G465">
        <v>1264418</v>
      </c>
      <c r="H465">
        <v>639619.5</v>
      </c>
      <c r="I465">
        <v>532906.77</v>
      </c>
      <c r="J465">
        <v>94230.63</v>
      </c>
      <c r="K465">
        <v>80</v>
      </c>
      <c r="L465">
        <v>6</v>
      </c>
      <c r="M465">
        <v>121</v>
      </c>
      <c r="N465">
        <v>3</v>
      </c>
      <c r="O465">
        <v>17</v>
      </c>
      <c r="P465">
        <v>114967.08</v>
      </c>
      <c r="Q465">
        <v>102.31</v>
      </c>
      <c r="R465">
        <v>114.12</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c r="AL465">
        <v>0</v>
      </c>
      <c r="AM465">
        <v>0</v>
      </c>
      <c r="AN465">
        <v>1</v>
      </c>
      <c r="AO465">
        <v>0</v>
      </c>
      <c r="AP465">
        <v>0</v>
      </c>
    </row>
    <row r="466" spans="4:42" x14ac:dyDescent="0.45">
      <c r="D466">
        <v>2025</v>
      </c>
      <c r="E466">
        <v>1</v>
      </c>
      <c r="F466">
        <v>4016000</v>
      </c>
      <c r="G466">
        <v>350603.11</v>
      </c>
      <c r="H466">
        <v>301960.63</v>
      </c>
      <c r="I466">
        <v>45984.86</v>
      </c>
      <c r="J466">
        <v>4736.34</v>
      </c>
      <c r="K466">
        <v>29</v>
      </c>
      <c r="L466">
        <v>6</v>
      </c>
      <c r="M466">
        <v>32</v>
      </c>
      <c r="N466">
        <v>0</v>
      </c>
      <c r="O466">
        <v>12</v>
      </c>
      <c r="P466">
        <v>7405.16</v>
      </c>
      <c r="Q466">
        <v>103.17</v>
      </c>
      <c r="R466">
        <v>113.96</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c r="AL466">
        <v>0</v>
      </c>
      <c r="AM466">
        <v>0</v>
      </c>
      <c r="AN466">
        <v>0</v>
      </c>
      <c r="AO466">
        <v>0</v>
      </c>
      <c r="AP466">
        <v>0</v>
      </c>
    </row>
    <row r="467" spans="4:42" x14ac:dyDescent="0.45">
      <c r="D467">
        <v>2025</v>
      </c>
      <c r="E467">
        <v>1</v>
      </c>
      <c r="F467">
        <v>7115000</v>
      </c>
      <c r="G467">
        <v>618084.05000000005</v>
      </c>
      <c r="H467">
        <v>294856.49</v>
      </c>
      <c r="I467">
        <v>291464.84000000003</v>
      </c>
      <c r="J467">
        <v>28776.42</v>
      </c>
      <c r="K467">
        <v>30</v>
      </c>
      <c r="L467">
        <v>3</v>
      </c>
      <c r="M467">
        <v>71</v>
      </c>
      <c r="N467">
        <v>3</v>
      </c>
      <c r="O467">
        <v>18</v>
      </c>
      <c r="P467">
        <v>67363.570000000007</v>
      </c>
      <c r="Q467">
        <v>108.1</v>
      </c>
      <c r="R467">
        <v>113.75</v>
      </c>
      <c r="S467">
        <v>0</v>
      </c>
      <c r="T467">
        <v>0</v>
      </c>
      <c r="U467">
        <v>0</v>
      </c>
      <c r="V467">
        <v>0</v>
      </c>
      <c r="W467">
        <v>0</v>
      </c>
      <c r="X467">
        <v>0</v>
      </c>
      <c r="Y467">
        <v>0</v>
      </c>
      <c r="Z467">
        <v>0</v>
      </c>
      <c r="AA467">
        <v>0</v>
      </c>
      <c r="AB467">
        <v>0</v>
      </c>
      <c r="AC467">
        <v>0</v>
      </c>
      <c r="AD467">
        <v>0</v>
      </c>
      <c r="AE467">
        <v>0</v>
      </c>
      <c r="AF467">
        <v>0</v>
      </c>
      <c r="AG467">
        <v>0</v>
      </c>
      <c r="AH467">
        <v>1</v>
      </c>
      <c r="AI467">
        <v>0</v>
      </c>
      <c r="AJ467">
        <v>0</v>
      </c>
      <c r="AK467">
        <v>0</v>
      </c>
      <c r="AL467">
        <v>0</v>
      </c>
      <c r="AM467">
        <v>0</v>
      </c>
      <c r="AN467">
        <v>0</v>
      </c>
      <c r="AO467">
        <v>0</v>
      </c>
      <c r="AP467">
        <v>0</v>
      </c>
    </row>
    <row r="468" spans="4:42" x14ac:dyDescent="0.45">
      <c r="D468">
        <v>2025</v>
      </c>
      <c r="E468">
        <v>1</v>
      </c>
      <c r="F468">
        <v>28688000</v>
      </c>
      <c r="G468">
        <v>2726328.45</v>
      </c>
      <c r="H468">
        <v>1873256.13</v>
      </c>
      <c r="I468">
        <v>638264.9</v>
      </c>
      <c r="J468">
        <v>23714.38</v>
      </c>
      <c r="K468">
        <v>212</v>
      </c>
      <c r="L468">
        <v>15</v>
      </c>
      <c r="M468">
        <v>827</v>
      </c>
      <c r="N468">
        <v>10</v>
      </c>
      <c r="O468">
        <v>41</v>
      </c>
      <c r="P468">
        <v>903255.07</v>
      </c>
      <c r="Q468">
        <v>105.31</v>
      </c>
      <c r="R468">
        <v>113.63</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c r="AL468">
        <v>0</v>
      </c>
      <c r="AM468">
        <v>1</v>
      </c>
      <c r="AN468">
        <v>0</v>
      </c>
      <c r="AO468">
        <v>0</v>
      </c>
      <c r="AP468">
        <v>0</v>
      </c>
    </row>
    <row r="469" spans="4:42" x14ac:dyDescent="0.45">
      <c r="D469">
        <v>2025</v>
      </c>
      <c r="E469">
        <v>1</v>
      </c>
      <c r="F469">
        <v>4820000</v>
      </c>
      <c r="G469">
        <v>423856.57</v>
      </c>
      <c r="H469">
        <v>341172.2</v>
      </c>
      <c r="I469">
        <v>69863.87</v>
      </c>
      <c r="J469">
        <v>5408.01</v>
      </c>
      <c r="K469">
        <v>33</v>
      </c>
      <c r="L469">
        <v>4</v>
      </c>
      <c r="M469">
        <v>97</v>
      </c>
      <c r="N469">
        <v>1</v>
      </c>
      <c r="O469">
        <v>12</v>
      </c>
      <c r="P469">
        <v>22851.17</v>
      </c>
      <c r="Q469">
        <v>103.97</v>
      </c>
      <c r="R469">
        <v>114.52</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1</v>
      </c>
      <c r="AM469">
        <v>0</v>
      </c>
      <c r="AN469">
        <v>0</v>
      </c>
      <c r="AO469">
        <v>0</v>
      </c>
      <c r="AP469">
        <v>0</v>
      </c>
    </row>
    <row r="470" spans="4:42" x14ac:dyDescent="0.45">
      <c r="D470">
        <v>2025</v>
      </c>
      <c r="E470">
        <v>1</v>
      </c>
      <c r="F470">
        <v>8377000</v>
      </c>
      <c r="G470">
        <v>722097.41</v>
      </c>
      <c r="H470">
        <v>389134.81</v>
      </c>
      <c r="I470">
        <v>297320.71999999997</v>
      </c>
      <c r="J470">
        <v>17538.95</v>
      </c>
      <c r="K470">
        <v>45</v>
      </c>
      <c r="L470">
        <v>3</v>
      </c>
      <c r="M470">
        <v>59</v>
      </c>
      <c r="N470">
        <v>1</v>
      </c>
      <c r="O470">
        <v>12</v>
      </c>
      <c r="P470">
        <v>24245.01</v>
      </c>
      <c r="Q470">
        <v>103.2</v>
      </c>
      <c r="R470">
        <v>114.21</v>
      </c>
      <c r="S470">
        <v>0</v>
      </c>
      <c r="T470">
        <v>0</v>
      </c>
      <c r="U470">
        <v>0</v>
      </c>
      <c r="V470">
        <v>0</v>
      </c>
      <c r="W470">
        <v>0</v>
      </c>
      <c r="X470">
        <v>0</v>
      </c>
      <c r="Y470">
        <v>0</v>
      </c>
      <c r="Z470">
        <v>0</v>
      </c>
      <c r="AA470">
        <v>0</v>
      </c>
      <c r="AB470">
        <v>0</v>
      </c>
      <c r="AC470">
        <v>0</v>
      </c>
      <c r="AD470">
        <v>0</v>
      </c>
      <c r="AE470">
        <v>0</v>
      </c>
      <c r="AF470">
        <v>0</v>
      </c>
      <c r="AG470">
        <v>1</v>
      </c>
      <c r="AH470">
        <v>0</v>
      </c>
      <c r="AI470">
        <v>0</v>
      </c>
      <c r="AJ470">
        <v>0</v>
      </c>
      <c r="AK470">
        <v>0</v>
      </c>
      <c r="AL470">
        <v>0</v>
      </c>
      <c r="AM470">
        <v>0</v>
      </c>
      <c r="AN470">
        <v>0</v>
      </c>
      <c r="AO470">
        <v>0</v>
      </c>
      <c r="AP470">
        <v>0</v>
      </c>
    </row>
    <row r="471" spans="4:42" x14ac:dyDescent="0.45">
      <c r="D471">
        <v>2025</v>
      </c>
      <c r="E471">
        <v>1</v>
      </c>
      <c r="F471">
        <v>5508000</v>
      </c>
      <c r="G471">
        <v>467908.47</v>
      </c>
      <c r="H471">
        <v>395574.79</v>
      </c>
      <c r="I471">
        <v>73373.679999999993</v>
      </c>
      <c r="J471">
        <v>4312.8900000000003</v>
      </c>
      <c r="K471">
        <v>38</v>
      </c>
      <c r="L471">
        <v>1</v>
      </c>
      <c r="M471">
        <v>73</v>
      </c>
      <c r="N471">
        <v>1</v>
      </c>
      <c r="O471">
        <v>9</v>
      </c>
      <c r="P471">
        <v>17337.11</v>
      </c>
      <c r="Q471">
        <v>101.36</v>
      </c>
      <c r="R471">
        <v>113.84</v>
      </c>
      <c r="S471">
        <v>0</v>
      </c>
      <c r="T471">
        <v>0</v>
      </c>
      <c r="U471">
        <v>0</v>
      </c>
      <c r="V471">
        <v>0</v>
      </c>
      <c r="W471">
        <v>0</v>
      </c>
      <c r="X471">
        <v>0</v>
      </c>
      <c r="Y471">
        <v>0</v>
      </c>
      <c r="Z471">
        <v>0</v>
      </c>
      <c r="AA471">
        <v>0</v>
      </c>
      <c r="AB471">
        <v>0</v>
      </c>
      <c r="AC471">
        <v>0</v>
      </c>
      <c r="AD471">
        <v>1</v>
      </c>
      <c r="AE471">
        <v>0</v>
      </c>
      <c r="AF471">
        <v>0</v>
      </c>
      <c r="AG471">
        <v>0</v>
      </c>
      <c r="AH471">
        <v>0</v>
      </c>
      <c r="AI471">
        <v>0</v>
      </c>
      <c r="AJ471">
        <v>0</v>
      </c>
      <c r="AK471">
        <v>0</v>
      </c>
      <c r="AL471">
        <v>0</v>
      </c>
      <c r="AM471">
        <v>0</v>
      </c>
      <c r="AN471">
        <v>0</v>
      </c>
      <c r="AO471">
        <v>0</v>
      </c>
      <c r="AP471">
        <v>0</v>
      </c>
    </row>
    <row r="472" spans="4:42" x14ac:dyDescent="0.45">
      <c r="D472">
        <v>2025</v>
      </c>
      <c r="E472">
        <v>2</v>
      </c>
      <c r="F472">
        <v>4016000</v>
      </c>
      <c r="G472">
        <v>366879.22</v>
      </c>
      <c r="H472">
        <v>304577.3</v>
      </c>
      <c r="I472">
        <v>49380.11</v>
      </c>
      <c r="J472">
        <v>8080.11</v>
      </c>
      <c r="K472">
        <v>28</v>
      </c>
      <c r="L472">
        <v>3</v>
      </c>
      <c r="M472">
        <v>63</v>
      </c>
      <c r="N472">
        <v>2</v>
      </c>
      <c r="O472">
        <v>14</v>
      </c>
      <c r="P472">
        <v>16672.98</v>
      </c>
      <c r="Q472">
        <v>103.62</v>
      </c>
      <c r="R472">
        <v>114.34</v>
      </c>
      <c r="S472">
        <v>0</v>
      </c>
      <c r="T472">
        <v>0</v>
      </c>
      <c r="U472">
        <v>0</v>
      </c>
      <c r="V472">
        <v>0</v>
      </c>
      <c r="W472">
        <v>0</v>
      </c>
      <c r="X472">
        <v>0</v>
      </c>
      <c r="Y472">
        <v>0</v>
      </c>
      <c r="Z472">
        <v>0</v>
      </c>
      <c r="AA472">
        <v>0</v>
      </c>
      <c r="AB472">
        <v>1</v>
      </c>
      <c r="AC472">
        <v>0</v>
      </c>
      <c r="AD472">
        <v>0</v>
      </c>
      <c r="AE472">
        <v>0</v>
      </c>
      <c r="AF472">
        <v>0</v>
      </c>
      <c r="AG472">
        <v>0</v>
      </c>
      <c r="AH472">
        <v>0</v>
      </c>
      <c r="AI472">
        <v>0</v>
      </c>
      <c r="AJ472">
        <v>0</v>
      </c>
      <c r="AK472">
        <v>0</v>
      </c>
      <c r="AL472">
        <v>0</v>
      </c>
      <c r="AM472">
        <v>0</v>
      </c>
      <c r="AN472">
        <v>0</v>
      </c>
      <c r="AO472">
        <v>0</v>
      </c>
      <c r="AP472">
        <v>0</v>
      </c>
    </row>
    <row r="473" spans="4:42" x14ac:dyDescent="0.45">
      <c r="D473">
        <v>2025</v>
      </c>
      <c r="E473">
        <v>2</v>
      </c>
      <c r="F473">
        <v>4820000</v>
      </c>
      <c r="G473">
        <v>411630.15</v>
      </c>
      <c r="H473">
        <v>322821.90999999997</v>
      </c>
      <c r="I473">
        <v>77540.69</v>
      </c>
      <c r="J473">
        <v>10491.91</v>
      </c>
      <c r="K473">
        <v>32</v>
      </c>
      <c r="L473">
        <v>1</v>
      </c>
      <c r="M473">
        <v>50</v>
      </c>
      <c r="N473">
        <v>0</v>
      </c>
      <c r="O473">
        <v>8</v>
      </c>
      <c r="P473">
        <v>7247.05</v>
      </c>
      <c r="Q473">
        <v>107.87</v>
      </c>
      <c r="R473">
        <v>114.42</v>
      </c>
      <c r="S473">
        <v>0</v>
      </c>
      <c r="T473">
        <v>0</v>
      </c>
      <c r="U473">
        <v>0</v>
      </c>
      <c r="V473">
        <v>0</v>
      </c>
      <c r="W473">
        <v>0</v>
      </c>
      <c r="X473">
        <v>0</v>
      </c>
      <c r="Y473">
        <v>0</v>
      </c>
      <c r="Z473">
        <v>0</v>
      </c>
      <c r="AA473">
        <v>0</v>
      </c>
      <c r="AB473">
        <v>1</v>
      </c>
      <c r="AC473">
        <v>0</v>
      </c>
      <c r="AD473">
        <v>0</v>
      </c>
      <c r="AE473">
        <v>0</v>
      </c>
      <c r="AF473">
        <v>0</v>
      </c>
      <c r="AG473">
        <v>0</v>
      </c>
      <c r="AH473">
        <v>0</v>
      </c>
      <c r="AI473">
        <v>0</v>
      </c>
      <c r="AJ473">
        <v>0</v>
      </c>
      <c r="AK473">
        <v>0</v>
      </c>
      <c r="AL473">
        <v>1</v>
      </c>
      <c r="AM473">
        <v>0</v>
      </c>
      <c r="AN473">
        <v>0</v>
      </c>
      <c r="AO473">
        <v>0</v>
      </c>
      <c r="AP473">
        <v>0</v>
      </c>
    </row>
    <row r="474" spans="4:42" x14ac:dyDescent="0.45">
      <c r="D474">
        <v>2025</v>
      </c>
      <c r="E474">
        <v>2</v>
      </c>
      <c r="F474">
        <v>8377000</v>
      </c>
      <c r="G474">
        <v>740188.03</v>
      </c>
      <c r="H474">
        <v>356231.81</v>
      </c>
      <c r="I474">
        <v>318148.21999999997</v>
      </c>
      <c r="J474">
        <v>48332.35</v>
      </c>
      <c r="K474">
        <v>44</v>
      </c>
      <c r="L474">
        <v>7</v>
      </c>
      <c r="M474">
        <v>71</v>
      </c>
      <c r="N474">
        <v>2</v>
      </c>
      <c r="O474">
        <v>19</v>
      </c>
      <c r="P474">
        <v>40453.65</v>
      </c>
      <c r="Q474">
        <v>105.05</v>
      </c>
      <c r="R474">
        <v>114.43</v>
      </c>
      <c r="S474">
        <v>0</v>
      </c>
      <c r="T474">
        <v>0</v>
      </c>
      <c r="U474">
        <v>0</v>
      </c>
      <c r="V474">
        <v>0</v>
      </c>
      <c r="W474">
        <v>0</v>
      </c>
      <c r="X474">
        <v>0</v>
      </c>
      <c r="Y474">
        <v>0</v>
      </c>
      <c r="Z474">
        <v>0</v>
      </c>
      <c r="AA474">
        <v>0</v>
      </c>
      <c r="AB474">
        <v>1</v>
      </c>
      <c r="AC474">
        <v>0</v>
      </c>
      <c r="AD474">
        <v>0</v>
      </c>
      <c r="AE474">
        <v>0</v>
      </c>
      <c r="AF474">
        <v>0</v>
      </c>
      <c r="AG474">
        <v>1</v>
      </c>
      <c r="AH474">
        <v>0</v>
      </c>
      <c r="AI474">
        <v>0</v>
      </c>
      <c r="AJ474">
        <v>0</v>
      </c>
      <c r="AK474">
        <v>0</v>
      </c>
      <c r="AL474">
        <v>0</v>
      </c>
      <c r="AM474">
        <v>0</v>
      </c>
      <c r="AN474">
        <v>0</v>
      </c>
      <c r="AO474">
        <v>0</v>
      </c>
      <c r="AP474">
        <v>0</v>
      </c>
    </row>
    <row r="475" spans="4:42" x14ac:dyDescent="0.45">
      <c r="D475">
        <v>2025</v>
      </c>
      <c r="E475">
        <v>2</v>
      </c>
      <c r="F475">
        <v>28688000</v>
      </c>
      <c r="G475">
        <v>2783364.29</v>
      </c>
      <c r="H475">
        <v>2056402.22</v>
      </c>
      <c r="I475">
        <v>688096.28</v>
      </c>
      <c r="J475">
        <v>56086.080000000002</v>
      </c>
      <c r="K475">
        <v>217</v>
      </c>
      <c r="L475">
        <v>15</v>
      </c>
      <c r="M475">
        <v>1095</v>
      </c>
      <c r="N475">
        <v>10</v>
      </c>
      <c r="O475">
        <v>40</v>
      </c>
      <c r="P475">
        <v>529874.31000000006</v>
      </c>
      <c r="Q475">
        <v>106.79</v>
      </c>
      <c r="R475">
        <v>114.86</v>
      </c>
      <c r="S475">
        <v>0</v>
      </c>
      <c r="T475">
        <v>0</v>
      </c>
      <c r="U475">
        <v>0</v>
      </c>
      <c r="V475">
        <v>0</v>
      </c>
      <c r="W475">
        <v>0</v>
      </c>
      <c r="X475">
        <v>0</v>
      </c>
      <c r="Y475">
        <v>0</v>
      </c>
      <c r="Z475">
        <v>0</v>
      </c>
      <c r="AA475">
        <v>0</v>
      </c>
      <c r="AB475">
        <v>1</v>
      </c>
      <c r="AC475">
        <v>0</v>
      </c>
      <c r="AD475">
        <v>0</v>
      </c>
      <c r="AE475">
        <v>0</v>
      </c>
      <c r="AF475">
        <v>0</v>
      </c>
      <c r="AG475">
        <v>0</v>
      </c>
      <c r="AH475">
        <v>0</v>
      </c>
      <c r="AI475">
        <v>0</v>
      </c>
      <c r="AJ475">
        <v>0</v>
      </c>
      <c r="AK475">
        <v>0</v>
      </c>
      <c r="AL475">
        <v>0</v>
      </c>
      <c r="AM475">
        <v>1</v>
      </c>
      <c r="AN475">
        <v>0</v>
      </c>
      <c r="AO475">
        <v>0</v>
      </c>
      <c r="AP475">
        <v>0</v>
      </c>
    </row>
    <row r="476" spans="4:42" x14ac:dyDescent="0.45">
      <c r="D476">
        <v>2025</v>
      </c>
      <c r="E476">
        <v>2</v>
      </c>
      <c r="F476">
        <v>21803000</v>
      </c>
      <c r="G476">
        <v>1935405.68</v>
      </c>
      <c r="H476">
        <v>847066.32</v>
      </c>
      <c r="I476">
        <v>987557.19</v>
      </c>
      <c r="J476">
        <v>148611.56</v>
      </c>
      <c r="K476">
        <v>97</v>
      </c>
      <c r="L476">
        <v>7</v>
      </c>
      <c r="M476">
        <v>462</v>
      </c>
      <c r="N476">
        <v>4</v>
      </c>
      <c r="O476">
        <v>26</v>
      </c>
      <c r="P476">
        <v>219461</v>
      </c>
      <c r="Q476">
        <v>107.42</v>
      </c>
      <c r="R476">
        <v>114.56</v>
      </c>
      <c r="S476">
        <v>0</v>
      </c>
      <c r="T476">
        <v>0</v>
      </c>
      <c r="U476">
        <v>0</v>
      </c>
      <c r="V476">
        <v>0</v>
      </c>
      <c r="W476">
        <v>0</v>
      </c>
      <c r="X476">
        <v>0</v>
      </c>
      <c r="Y476">
        <v>0</v>
      </c>
      <c r="Z476">
        <v>0</v>
      </c>
      <c r="AA476">
        <v>0</v>
      </c>
      <c r="AB476">
        <v>1</v>
      </c>
      <c r="AC476">
        <v>0</v>
      </c>
      <c r="AD476">
        <v>0</v>
      </c>
      <c r="AE476">
        <v>0</v>
      </c>
      <c r="AF476">
        <v>0</v>
      </c>
      <c r="AG476">
        <v>0</v>
      </c>
      <c r="AH476">
        <v>0</v>
      </c>
      <c r="AI476">
        <v>0</v>
      </c>
      <c r="AJ476">
        <v>0</v>
      </c>
      <c r="AK476">
        <v>0</v>
      </c>
      <c r="AL476">
        <v>0</v>
      </c>
      <c r="AM476">
        <v>0</v>
      </c>
      <c r="AN476">
        <v>0</v>
      </c>
      <c r="AO476">
        <v>0</v>
      </c>
      <c r="AP476">
        <v>1</v>
      </c>
    </row>
    <row r="477" spans="4:42" x14ac:dyDescent="0.45">
      <c r="D477">
        <v>2025</v>
      </c>
      <c r="E477">
        <v>2</v>
      </c>
      <c r="F477">
        <v>9180000</v>
      </c>
      <c r="G477">
        <v>789450.65</v>
      </c>
      <c r="H477">
        <v>507557.34</v>
      </c>
      <c r="I477">
        <v>276834.21000000002</v>
      </c>
      <c r="J477">
        <v>38050.800000000003</v>
      </c>
      <c r="K477">
        <v>65</v>
      </c>
      <c r="L477">
        <v>3</v>
      </c>
      <c r="M477">
        <v>81</v>
      </c>
      <c r="N477">
        <v>4</v>
      </c>
      <c r="O477">
        <v>15</v>
      </c>
      <c r="P477">
        <v>92032.03</v>
      </c>
      <c r="Q477">
        <v>107.73</v>
      </c>
      <c r="R477">
        <v>114.35</v>
      </c>
      <c r="S477">
        <v>0</v>
      </c>
      <c r="T477">
        <v>0</v>
      </c>
      <c r="U477">
        <v>0</v>
      </c>
      <c r="V477">
        <v>0</v>
      </c>
      <c r="W477">
        <v>0</v>
      </c>
      <c r="X477">
        <v>0</v>
      </c>
      <c r="Y477">
        <v>0</v>
      </c>
      <c r="Z477">
        <v>0</v>
      </c>
      <c r="AA477">
        <v>0</v>
      </c>
      <c r="AB477">
        <v>1</v>
      </c>
      <c r="AC477">
        <v>0</v>
      </c>
      <c r="AD477">
        <v>0</v>
      </c>
      <c r="AE477">
        <v>0</v>
      </c>
      <c r="AF477">
        <v>0</v>
      </c>
      <c r="AG477">
        <v>0</v>
      </c>
      <c r="AH477">
        <v>0</v>
      </c>
      <c r="AI477">
        <v>0</v>
      </c>
      <c r="AJ477">
        <v>1</v>
      </c>
      <c r="AK477">
        <v>0</v>
      </c>
      <c r="AL477">
        <v>0</v>
      </c>
      <c r="AM477">
        <v>0</v>
      </c>
      <c r="AN477">
        <v>0</v>
      </c>
      <c r="AO477">
        <v>0</v>
      </c>
      <c r="AP477">
        <v>0</v>
      </c>
    </row>
    <row r="478" spans="4:42" x14ac:dyDescent="0.45">
      <c r="D478">
        <v>2025</v>
      </c>
      <c r="E478">
        <v>2</v>
      </c>
      <c r="F478">
        <v>5508000</v>
      </c>
      <c r="G478">
        <v>492442.61</v>
      </c>
      <c r="H478">
        <v>403742.86</v>
      </c>
      <c r="I478">
        <v>73089.61</v>
      </c>
      <c r="J478">
        <v>11391.54</v>
      </c>
      <c r="K478">
        <v>38</v>
      </c>
      <c r="L478">
        <v>5</v>
      </c>
      <c r="M478">
        <v>68</v>
      </c>
      <c r="N478">
        <v>0</v>
      </c>
      <c r="O478">
        <v>10</v>
      </c>
      <c r="P478">
        <v>7666.66</v>
      </c>
      <c r="Q478">
        <v>106.2</v>
      </c>
      <c r="R478">
        <v>115.56</v>
      </c>
      <c r="S478">
        <v>0</v>
      </c>
      <c r="T478">
        <v>0</v>
      </c>
      <c r="U478">
        <v>0</v>
      </c>
      <c r="V478">
        <v>0</v>
      </c>
      <c r="W478">
        <v>0</v>
      </c>
      <c r="X478">
        <v>0</v>
      </c>
      <c r="Y478">
        <v>0</v>
      </c>
      <c r="Z478">
        <v>0</v>
      </c>
      <c r="AA478">
        <v>0</v>
      </c>
      <c r="AB478">
        <v>1</v>
      </c>
      <c r="AC478">
        <v>0</v>
      </c>
      <c r="AD478">
        <v>1</v>
      </c>
      <c r="AE478">
        <v>0</v>
      </c>
      <c r="AF478">
        <v>0</v>
      </c>
      <c r="AG478">
        <v>0</v>
      </c>
      <c r="AH478">
        <v>0</v>
      </c>
      <c r="AI478">
        <v>0</v>
      </c>
      <c r="AJ478">
        <v>0</v>
      </c>
      <c r="AK478">
        <v>0</v>
      </c>
      <c r="AL478">
        <v>0</v>
      </c>
      <c r="AM478">
        <v>0</v>
      </c>
      <c r="AN478">
        <v>0</v>
      </c>
      <c r="AO478">
        <v>0</v>
      </c>
      <c r="AP478">
        <v>0</v>
      </c>
    </row>
    <row r="479" spans="4:42" x14ac:dyDescent="0.45">
      <c r="D479">
        <v>2025</v>
      </c>
      <c r="E479">
        <v>2</v>
      </c>
      <c r="F479">
        <v>7115000</v>
      </c>
      <c r="G479">
        <v>705526.3</v>
      </c>
      <c r="H479">
        <v>291962.3</v>
      </c>
      <c r="I479">
        <v>267498.12</v>
      </c>
      <c r="J479">
        <v>154231.43</v>
      </c>
      <c r="K479">
        <v>30</v>
      </c>
      <c r="L479">
        <v>1</v>
      </c>
      <c r="M479">
        <v>9</v>
      </c>
      <c r="N479">
        <v>2</v>
      </c>
      <c r="O479">
        <v>11</v>
      </c>
      <c r="P479">
        <v>29725.96</v>
      </c>
      <c r="Q479">
        <v>106.61</v>
      </c>
      <c r="R479">
        <v>114.31</v>
      </c>
      <c r="S479">
        <v>0</v>
      </c>
      <c r="T479">
        <v>0</v>
      </c>
      <c r="U479">
        <v>0</v>
      </c>
      <c r="V479">
        <v>0</v>
      </c>
      <c r="W479">
        <v>0</v>
      </c>
      <c r="X479">
        <v>0</v>
      </c>
      <c r="Y479">
        <v>0</v>
      </c>
      <c r="Z479">
        <v>0</v>
      </c>
      <c r="AA479">
        <v>0</v>
      </c>
      <c r="AB479">
        <v>1</v>
      </c>
      <c r="AC479">
        <v>0</v>
      </c>
      <c r="AD479">
        <v>0</v>
      </c>
      <c r="AE479">
        <v>0</v>
      </c>
      <c r="AF479">
        <v>0</v>
      </c>
      <c r="AG479">
        <v>0</v>
      </c>
      <c r="AH479">
        <v>1</v>
      </c>
      <c r="AI479">
        <v>0</v>
      </c>
      <c r="AJ479">
        <v>0</v>
      </c>
      <c r="AK479">
        <v>0</v>
      </c>
      <c r="AL479">
        <v>0</v>
      </c>
      <c r="AM479">
        <v>0</v>
      </c>
      <c r="AN479">
        <v>0</v>
      </c>
      <c r="AO479">
        <v>0</v>
      </c>
      <c r="AP479">
        <v>0</v>
      </c>
    </row>
    <row r="480" spans="4:42" x14ac:dyDescent="0.45">
      <c r="D480">
        <v>2025</v>
      </c>
      <c r="E480">
        <v>2</v>
      </c>
      <c r="F480">
        <v>25246000</v>
      </c>
      <c r="G480">
        <v>2169226.2599999998</v>
      </c>
      <c r="H480">
        <v>1730545.77</v>
      </c>
      <c r="I480">
        <v>478757.21</v>
      </c>
      <c r="J480">
        <v>69041.31</v>
      </c>
      <c r="K480">
        <v>187</v>
      </c>
      <c r="L480">
        <v>13</v>
      </c>
      <c r="M480">
        <v>711</v>
      </c>
      <c r="N480">
        <v>7</v>
      </c>
      <c r="O480">
        <v>24</v>
      </c>
      <c r="P480">
        <v>299548.15000000002</v>
      </c>
      <c r="Q480">
        <v>105.53</v>
      </c>
      <c r="R480">
        <v>114.3</v>
      </c>
      <c r="S480">
        <v>0</v>
      </c>
      <c r="T480">
        <v>0</v>
      </c>
      <c r="U480">
        <v>0</v>
      </c>
      <c r="V480">
        <v>0</v>
      </c>
      <c r="W480">
        <v>0</v>
      </c>
      <c r="X480">
        <v>0</v>
      </c>
      <c r="Y480">
        <v>0</v>
      </c>
      <c r="Z480">
        <v>0</v>
      </c>
      <c r="AA480">
        <v>0</v>
      </c>
      <c r="AB480">
        <v>1</v>
      </c>
      <c r="AC480">
        <v>0</v>
      </c>
      <c r="AD480">
        <v>0</v>
      </c>
      <c r="AE480">
        <v>0</v>
      </c>
      <c r="AF480">
        <v>1</v>
      </c>
      <c r="AG480">
        <v>0</v>
      </c>
      <c r="AH480">
        <v>0</v>
      </c>
      <c r="AI480">
        <v>0</v>
      </c>
      <c r="AJ480">
        <v>0</v>
      </c>
      <c r="AK480">
        <v>0</v>
      </c>
      <c r="AL480">
        <v>0</v>
      </c>
      <c r="AM480">
        <v>0</v>
      </c>
      <c r="AN480">
        <v>0</v>
      </c>
      <c r="AO480">
        <v>0</v>
      </c>
      <c r="AP480">
        <v>0</v>
      </c>
    </row>
    <row r="481" spans="4:42" x14ac:dyDescent="0.45">
      <c r="D481">
        <v>2025</v>
      </c>
      <c r="E481">
        <v>2</v>
      </c>
      <c r="F481">
        <v>15492000</v>
      </c>
      <c r="G481">
        <v>1206732.3899999999</v>
      </c>
      <c r="H481">
        <v>642356.84</v>
      </c>
      <c r="I481">
        <v>577676.89</v>
      </c>
      <c r="J481">
        <v>49886.03</v>
      </c>
      <c r="K481">
        <v>79</v>
      </c>
      <c r="L481">
        <v>4</v>
      </c>
      <c r="M481">
        <v>89</v>
      </c>
      <c r="N481">
        <v>5</v>
      </c>
      <c r="O481">
        <v>23</v>
      </c>
      <c r="P481">
        <v>170829.88</v>
      </c>
      <c r="Q481">
        <v>106.7</v>
      </c>
      <c r="R481">
        <v>115.37</v>
      </c>
      <c r="S481">
        <v>0</v>
      </c>
      <c r="T481">
        <v>0</v>
      </c>
      <c r="U481">
        <v>0</v>
      </c>
      <c r="V481">
        <v>0</v>
      </c>
      <c r="W481">
        <v>0</v>
      </c>
      <c r="X481">
        <v>0</v>
      </c>
      <c r="Y481">
        <v>0</v>
      </c>
      <c r="Z481">
        <v>0</v>
      </c>
      <c r="AA481">
        <v>0</v>
      </c>
      <c r="AB481">
        <v>1</v>
      </c>
      <c r="AC481">
        <v>0</v>
      </c>
      <c r="AD481">
        <v>0</v>
      </c>
      <c r="AE481">
        <v>0</v>
      </c>
      <c r="AF481">
        <v>0</v>
      </c>
      <c r="AG481">
        <v>0</v>
      </c>
      <c r="AH481">
        <v>0</v>
      </c>
      <c r="AI481">
        <v>0</v>
      </c>
      <c r="AJ481">
        <v>0</v>
      </c>
      <c r="AK481">
        <v>0</v>
      </c>
      <c r="AL481">
        <v>0</v>
      </c>
      <c r="AM481">
        <v>0</v>
      </c>
      <c r="AN481">
        <v>1</v>
      </c>
      <c r="AO481">
        <v>0</v>
      </c>
      <c r="AP481">
        <v>0</v>
      </c>
    </row>
    <row r="482" spans="4:42" x14ac:dyDescent="0.45">
      <c r="D482">
        <v>2025</v>
      </c>
      <c r="E482">
        <v>3</v>
      </c>
      <c r="F482">
        <v>9180000</v>
      </c>
      <c r="G482">
        <v>853338.66</v>
      </c>
      <c r="H482">
        <v>527008.87</v>
      </c>
      <c r="I482">
        <v>278884.71000000002</v>
      </c>
      <c r="J482">
        <v>33931.949999999997</v>
      </c>
      <c r="K482">
        <v>66</v>
      </c>
      <c r="L482">
        <v>6</v>
      </c>
      <c r="M482">
        <v>86</v>
      </c>
      <c r="N482">
        <v>5</v>
      </c>
      <c r="O482">
        <v>20</v>
      </c>
      <c r="P482">
        <v>93390.23</v>
      </c>
      <c r="Q482">
        <v>109.28</v>
      </c>
      <c r="R482">
        <v>114.71</v>
      </c>
      <c r="S482">
        <v>0</v>
      </c>
      <c r="T482">
        <v>0</v>
      </c>
      <c r="U482">
        <v>1</v>
      </c>
      <c r="V482">
        <v>0</v>
      </c>
      <c r="W482">
        <v>0</v>
      </c>
      <c r="X482">
        <v>0</v>
      </c>
      <c r="Y482">
        <v>0</v>
      </c>
      <c r="Z482">
        <v>0</v>
      </c>
      <c r="AA482">
        <v>0</v>
      </c>
      <c r="AB482">
        <v>0</v>
      </c>
      <c r="AC482">
        <v>0</v>
      </c>
      <c r="AD482">
        <v>0</v>
      </c>
      <c r="AE482">
        <v>0</v>
      </c>
      <c r="AF482">
        <v>0</v>
      </c>
      <c r="AG482">
        <v>0</v>
      </c>
      <c r="AH482">
        <v>0</v>
      </c>
      <c r="AI482">
        <v>0</v>
      </c>
      <c r="AJ482">
        <v>1</v>
      </c>
      <c r="AK482">
        <v>0</v>
      </c>
      <c r="AL482">
        <v>0</v>
      </c>
      <c r="AM482">
        <v>0</v>
      </c>
      <c r="AN482">
        <v>0</v>
      </c>
      <c r="AO482">
        <v>0</v>
      </c>
      <c r="AP482">
        <v>0</v>
      </c>
    </row>
    <row r="483" spans="4:42" x14ac:dyDescent="0.45">
      <c r="D483">
        <v>2025</v>
      </c>
      <c r="E483">
        <v>3</v>
      </c>
      <c r="F483">
        <v>28688000</v>
      </c>
      <c r="G483">
        <v>2712226.29</v>
      </c>
      <c r="H483">
        <v>2020951.02</v>
      </c>
      <c r="I483">
        <v>554331.16</v>
      </c>
      <c r="J483">
        <v>77490.13</v>
      </c>
      <c r="K483">
        <v>216</v>
      </c>
      <c r="L483">
        <v>17</v>
      </c>
      <c r="M483">
        <v>1045</v>
      </c>
      <c r="N483">
        <v>10</v>
      </c>
      <c r="O483">
        <v>37</v>
      </c>
      <c r="P483">
        <v>658312.48</v>
      </c>
      <c r="Q483">
        <v>105.45</v>
      </c>
      <c r="R483">
        <v>114.65</v>
      </c>
      <c r="S483">
        <v>0</v>
      </c>
      <c r="T483">
        <v>0</v>
      </c>
      <c r="U483">
        <v>1</v>
      </c>
      <c r="V483">
        <v>0</v>
      </c>
      <c r="W483">
        <v>0</v>
      </c>
      <c r="X483">
        <v>0</v>
      </c>
      <c r="Y483">
        <v>0</v>
      </c>
      <c r="Z483">
        <v>0</v>
      </c>
      <c r="AA483">
        <v>0</v>
      </c>
      <c r="AB483">
        <v>0</v>
      </c>
      <c r="AC483">
        <v>0</v>
      </c>
      <c r="AD483">
        <v>0</v>
      </c>
      <c r="AE483">
        <v>0</v>
      </c>
      <c r="AF483">
        <v>0</v>
      </c>
      <c r="AG483">
        <v>0</v>
      </c>
      <c r="AH483">
        <v>0</v>
      </c>
      <c r="AI483">
        <v>0</v>
      </c>
      <c r="AJ483">
        <v>0</v>
      </c>
      <c r="AK483">
        <v>0</v>
      </c>
      <c r="AL483">
        <v>0</v>
      </c>
      <c r="AM483">
        <v>1</v>
      </c>
      <c r="AN483">
        <v>0</v>
      </c>
      <c r="AO483">
        <v>0</v>
      </c>
      <c r="AP483">
        <v>0</v>
      </c>
    </row>
    <row r="484" spans="4:42" x14ac:dyDescent="0.45">
      <c r="D484">
        <v>2025</v>
      </c>
      <c r="E484">
        <v>3</v>
      </c>
      <c r="F484">
        <v>5508000</v>
      </c>
      <c r="G484">
        <v>489009.15</v>
      </c>
      <c r="H484">
        <v>397403.81</v>
      </c>
      <c r="I484">
        <v>85632.79</v>
      </c>
      <c r="J484">
        <v>9388.16</v>
      </c>
      <c r="K484">
        <v>38</v>
      </c>
      <c r="L484">
        <v>9</v>
      </c>
      <c r="M484">
        <v>64</v>
      </c>
      <c r="N484">
        <v>4</v>
      </c>
      <c r="O484">
        <v>11</v>
      </c>
      <c r="P484">
        <v>48878.64</v>
      </c>
      <c r="Q484">
        <v>108.72</v>
      </c>
      <c r="R484">
        <v>114.92</v>
      </c>
      <c r="S484">
        <v>0</v>
      </c>
      <c r="T484">
        <v>0</v>
      </c>
      <c r="U484">
        <v>1</v>
      </c>
      <c r="V484">
        <v>0</v>
      </c>
      <c r="W484">
        <v>0</v>
      </c>
      <c r="X484">
        <v>0</v>
      </c>
      <c r="Y484">
        <v>0</v>
      </c>
      <c r="Z484">
        <v>0</v>
      </c>
      <c r="AA484">
        <v>0</v>
      </c>
      <c r="AB484">
        <v>0</v>
      </c>
      <c r="AC484">
        <v>0</v>
      </c>
      <c r="AD484">
        <v>1</v>
      </c>
      <c r="AE484">
        <v>0</v>
      </c>
      <c r="AF484">
        <v>0</v>
      </c>
      <c r="AG484">
        <v>0</v>
      </c>
      <c r="AH484">
        <v>0</v>
      </c>
      <c r="AI484">
        <v>0</v>
      </c>
      <c r="AJ484">
        <v>0</v>
      </c>
      <c r="AK484">
        <v>0</v>
      </c>
      <c r="AL484">
        <v>0</v>
      </c>
      <c r="AM484">
        <v>0</v>
      </c>
      <c r="AN484">
        <v>0</v>
      </c>
      <c r="AO484">
        <v>0</v>
      </c>
      <c r="AP484">
        <v>0</v>
      </c>
    </row>
    <row r="485" spans="4:42" x14ac:dyDescent="0.45">
      <c r="D485">
        <v>2025</v>
      </c>
      <c r="E485">
        <v>3</v>
      </c>
      <c r="F485">
        <v>4016000</v>
      </c>
      <c r="G485">
        <v>360571.05</v>
      </c>
      <c r="H485">
        <v>306911.24</v>
      </c>
      <c r="I485">
        <v>52834.51</v>
      </c>
      <c r="J485">
        <v>5008.3999999999996</v>
      </c>
      <c r="K485">
        <v>28</v>
      </c>
      <c r="L485">
        <v>1</v>
      </c>
      <c r="M485">
        <v>45</v>
      </c>
      <c r="N485">
        <v>2</v>
      </c>
      <c r="O485">
        <v>12</v>
      </c>
      <c r="P485">
        <v>16699.689999999999</v>
      </c>
      <c r="Q485">
        <v>108.85</v>
      </c>
      <c r="R485">
        <v>115.91</v>
      </c>
      <c r="S485">
        <v>0</v>
      </c>
      <c r="T485">
        <v>0</v>
      </c>
      <c r="U485">
        <v>1</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c r="AP485">
        <v>0</v>
      </c>
    </row>
    <row r="486" spans="4:42" x14ac:dyDescent="0.45">
      <c r="D486">
        <v>2025</v>
      </c>
      <c r="E486">
        <v>3</v>
      </c>
      <c r="F486">
        <v>21803000</v>
      </c>
      <c r="G486">
        <v>1947103.88</v>
      </c>
      <c r="H486">
        <v>854951.17</v>
      </c>
      <c r="I486">
        <v>990881.08</v>
      </c>
      <c r="J486">
        <v>109258</v>
      </c>
      <c r="K486">
        <v>97</v>
      </c>
      <c r="L486">
        <v>7</v>
      </c>
      <c r="M486">
        <v>490</v>
      </c>
      <c r="N486">
        <v>10</v>
      </c>
      <c r="O486">
        <v>34</v>
      </c>
      <c r="P486">
        <v>537780.86</v>
      </c>
      <c r="Q486">
        <v>108.23</v>
      </c>
      <c r="R486">
        <v>116.23</v>
      </c>
      <c r="S486">
        <v>0</v>
      </c>
      <c r="T486">
        <v>0</v>
      </c>
      <c r="U486">
        <v>1</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c r="AP486">
        <v>1</v>
      </c>
    </row>
    <row r="487" spans="4:42" x14ac:dyDescent="0.45">
      <c r="D487">
        <v>2025</v>
      </c>
      <c r="E487">
        <v>3</v>
      </c>
      <c r="F487">
        <v>25246000</v>
      </c>
      <c r="G487">
        <v>2523359.29</v>
      </c>
      <c r="H487">
        <v>1803368.58</v>
      </c>
      <c r="I487">
        <v>539676.98</v>
      </c>
      <c r="J487">
        <v>26807.26</v>
      </c>
      <c r="K487">
        <v>181</v>
      </c>
      <c r="L487">
        <v>13</v>
      </c>
      <c r="M487">
        <v>907</v>
      </c>
      <c r="N487">
        <v>6</v>
      </c>
      <c r="O487">
        <v>32</v>
      </c>
      <c r="P487">
        <v>481243.94</v>
      </c>
      <c r="Q487">
        <v>110.1</v>
      </c>
      <c r="R487">
        <v>114.16</v>
      </c>
      <c r="S487">
        <v>0</v>
      </c>
      <c r="T487">
        <v>0</v>
      </c>
      <c r="U487">
        <v>1</v>
      </c>
      <c r="V487">
        <v>0</v>
      </c>
      <c r="W487">
        <v>0</v>
      </c>
      <c r="X487">
        <v>0</v>
      </c>
      <c r="Y487">
        <v>0</v>
      </c>
      <c r="Z487">
        <v>0</v>
      </c>
      <c r="AA487">
        <v>0</v>
      </c>
      <c r="AB487">
        <v>0</v>
      </c>
      <c r="AC487">
        <v>0</v>
      </c>
      <c r="AD487">
        <v>0</v>
      </c>
      <c r="AE487">
        <v>0</v>
      </c>
      <c r="AF487">
        <v>1</v>
      </c>
      <c r="AG487">
        <v>0</v>
      </c>
      <c r="AH487">
        <v>0</v>
      </c>
      <c r="AI487">
        <v>0</v>
      </c>
      <c r="AJ487">
        <v>0</v>
      </c>
      <c r="AK487">
        <v>0</v>
      </c>
      <c r="AL487">
        <v>0</v>
      </c>
      <c r="AM487">
        <v>0</v>
      </c>
      <c r="AN487">
        <v>0</v>
      </c>
      <c r="AO487">
        <v>0</v>
      </c>
      <c r="AP487">
        <v>0</v>
      </c>
    </row>
    <row r="488" spans="4:42" x14ac:dyDescent="0.45">
      <c r="D488">
        <v>2025</v>
      </c>
      <c r="E488">
        <v>3</v>
      </c>
      <c r="F488">
        <v>15492000</v>
      </c>
      <c r="G488">
        <v>1428915.54</v>
      </c>
      <c r="H488">
        <v>648650.15</v>
      </c>
      <c r="I488">
        <v>673679.19</v>
      </c>
      <c r="J488">
        <v>58523</v>
      </c>
      <c r="K488">
        <v>81</v>
      </c>
      <c r="L488">
        <v>5</v>
      </c>
      <c r="M488">
        <v>105</v>
      </c>
      <c r="N488">
        <v>6</v>
      </c>
      <c r="O488">
        <v>23</v>
      </c>
      <c r="P488">
        <v>193300.4</v>
      </c>
      <c r="Q488">
        <v>110.02</v>
      </c>
      <c r="R488">
        <v>114.8</v>
      </c>
      <c r="S488">
        <v>0</v>
      </c>
      <c r="T488">
        <v>0</v>
      </c>
      <c r="U488">
        <v>1</v>
      </c>
      <c r="V488">
        <v>0</v>
      </c>
      <c r="W488">
        <v>0</v>
      </c>
      <c r="X488">
        <v>0</v>
      </c>
      <c r="Y488">
        <v>0</v>
      </c>
      <c r="Z488">
        <v>0</v>
      </c>
      <c r="AA488">
        <v>0</v>
      </c>
      <c r="AB488">
        <v>0</v>
      </c>
      <c r="AC488">
        <v>0</v>
      </c>
      <c r="AD488">
        <v>0</v>
      </c>
      <c r="AE488">
        <v>0</v>
      </c>
      <c r="AF488">
        <v>0</v>
      </c>
      <c r="AG488">
        <v>0</v>
      </c>
      <c r="AH488">
        <v>0</v>
      </c>
      <c r="AI488">
        <v>0</v>
      </c>
      <c r="AJ488">
        <v>0</v>
      </c>
      <c r="AK488">
        <v>0</v>
      </c>
      <c r="AL488">
        <v>0</v>
      </c>
      <c r="AM488">
        <v>0</v>
      </c>
      <c r="AN488">
        <v>1</v>
      </c>
      <c r="AO488">
        <v>0</v>
      </c>
      <c r="AP488">
        <v>0</v>
      </c>
    </row>
    <row r="489" spans="4:42" x14ac:dyDescent="0.45">
      <c r="D489">
        <v>2025</v>
      </c>
      <c r="E489">
        <v>3</v>
      </c>
      <c r="F489">
        <v>8377000</v>
      </c>
      <c r="G489">
        <v>804038.49</v>
      </c>
      <c r="H489">
        <v>360829.32</v>
      </c>
      <c r="I489">
        <v>375014.36</v>
      </c>
      <c r="J489">
        <v>48732.6</v>
      </c>
      <c r="K489">
        <v>44</v>
      </c>
      <c r="L489">
        <v>6</v>
      </c>
      <c r="M489">
        <v>91</v>
      </c>
      <c r="N489">
        <v>5</v>
      </c>
      <c r="O489">
        <v>14</v>
      </c>
      <c r="P489">
        <v>87606.27</v>
      </c>
      <c r="Q489">
        <v>105.29</v>
      </c>
      <c r="R489">
        <v>115.23</v>
      </c>
      <c r="S489">
        <v>0</v>
      </c>
      <c r="T489">
        <v>0</v>
      </c>
      <c r="U489">
        <v>1</v>
      </c>
      <c r="V489">
        <v>0</v>
      </c>
      <c r="W489">
        <v>0</v>
      </c>
      <c r="X489">
        <v>0</v>
      </c>
      <c r="Y489">
        <v>0</v>
      </c>
      <c r="Z489">
        <v>0</v>
      </c>
      <c r="AA489">
        <v>0</v>
      </c>
      <c r="AB489">
        <v>0</v>
      </c>
      <c r="AC489">
        <v>0</v>
      </c>
      <c r="AD489">
        <v>0</v>
      </c>
      <c r="AE489">
        <v>0</v>
      </c>
      <c r="AF489">
        <v>0</v>
      </c>
      <c r="AG489">
        <v>1</v>
      </c>
      <c r="AH489">
        <v>0</v>
      </c>
      <c r="AI489">
        <v>0</v>
      </c>
      <c r="AJ489">
        <v>0</v>
      </c>
      <c r="AK489">
        <v>0</v>
      </c>
      <c r="AL489">
        <v>0</v>
      </c>
      <c r="AM489">
        <v>0</v>
      </c>
      <c r="AN489">
        <v>0</v>
      </c>
      <c r="AO489">
        <v>0</v>
      </c>
      <c r="AP489">
        <v>0</v>
      </c>
    </row>
    <row r="490" spans="4:42" x14ac:dyDescent="0.45">
      <c r="D490">
        <v>2025</v>
      </c>
      <c r="E490">
        <v>3</v>
      </c>
      <c r="F490">
        <v>4820000</v>
      </c>
      <c r="G490">
        <v>429640.37</v>
      </c>
      <c r="H490">
        <v>334578.15999999997</v>
      </c>
      <c r="I490">
        <v>86528.71</v>
      </c>
      <c r="J490">
        <v>7779.84</v>
      </c>
      <c r="K490">
        <v>33</v>
      </c>
      <c r="L490">
        <v>0</v>
      </c>
      <c r="M490">
        <v>19</v>
      </c>
      <c r="N490">
        <v>2</v>
      </c>
      <c r="O490">
        <v>14</v>
      </c>
      <c r="P490">
        <v>31718.35</v>
      </c>
      <c r="Q490">
        <v>105.2</v>
      </c>
      <c r="R490">
        <v>114.47</v>
      </c>
      <c r="S490">
        <v>0</v>
      </c>
      <c r="T490">
        <v>0</v>
      </c>
      <c r="U490">
        <v>1</v>
      </c>
      <c r="V490">
        <v>0</v>
      </c>
      <c r="W490">
        <v>0</v>
      </c>
      <c r="X490">
        <v>0</v>
      </c>
      <c r="Y490">
        <v>0</v>
      </c>
      <c r="Z490">
        <v>0</v>
      </c>
      <c r="AA490">
        <v>0</v>
      </c>
      <c r="AB490">
        <v>0</v>
      </c>
      <c r="AC490">
        <v>0</v>
      </c>
      <c r="AD490">
        <v>0</v>
      </c>
      <c r="AE490">
        <v>0</v>
      </c>
      <c r="AF490">
        <v>0</v>
      </c>
      <c r="AG490">
        <v>0</v>
      </c>
      <c r="AH490">
        <v>0</v>
      </c>
      <c r="AI490">
        <v>0</v>
      </c>
      <c r="AJ490">
        <v>0</v>
      </c>
      <c r="AK490">
        <v>0</v>
      </c>
      <c r="AL490">
        <v>1</v>
      </c>
      <c r="AM490">
        <v>0</v>
      </c>
      <c r="AN490">
        <v>0</v>
      </c>
      <c r="AO490">
        <v>0</v>
      </c>
      <c r="AP490">
        <v>0</v>
      </c>
    </row>
    <row r="491" spans="4:42" x14ac:dyDescent="0.45">
      <c r="D491">
        <v>2025</v>
      </c>
      <c r="E491">
        <v>3</v>
      </c>
      <c r="F491">
        <v>7115000</v>
      </c>
      <c r="G491">
        <v>763346.87</v>
      </c>
      <c r="H491">
        <v>321969.91999999998</v>
      </c>
      <c r="I491">
        <v>285197.93</v>
      </c>
      <c r="J491">
        <v>147973.07999999999</v>
      </c>
      <c r="K491">
        <v>32</v>
      </c>
      <c r="L491">
        <v>1</v>
      </c>
      <c r="M491">
        <v>54</v>
      </c>
      <c r="N491">
        <v>3</v>
      </c>
      <c r="O491">
        <v>15</v>
      </c>
      <c r="P491">
        <v>48829.35</v>
      </c>
      <c r="Q491">
        <v>108.91</v>
      </c>
      <c r="R491">
        <v>115.12</v>
      </c>
      <c r="S491">
        <v>0</v>
      </c>
      <c r="T491">
        <v>0</v>
      </c>
      <c r="U491">
        <v>1</v>
      </c>
      <c r="V491">
        <v>0</v>
      </c>
      <c r="W491">
        <v>0</v>
      </c>
      <c r="X491">
        <v>0</v>
      </c>
      <c r="Y491">
        <v>0</v>
      </c>
      <c r="Z491">
        <v>0</v>
      </c>
      <c r="AA491">
        <v>0</v>
      </c>
      <c r="AB491">
        <v>0</v>
      </c>
      <c r="AC491">
        <v>0</v>
      </c>
      <c r="AD491">
        <v>0</v>
      </c>
      <c r="AE491">
        <v>0</v>
      </c>
      <c r="AF491">
        <v>0</v>
      </c>
      <c r="AG491">
        <v>0</v>
      </c>
      <c r="AH491">
        <v>1</v>
      </c>
      <c r="AI491">
        <v>0</v>
      </c>
      <c r="AJ491">
        <v>0</v>
      </c>
      <c r="AK491">
        <v>0</v>
      </c>
      <c r="AL491">
        <v>0</v>
      </c>
      <c r="AM491">
        <v>0</v>
      </c>
      <c r="AN491">
        <v>0</v>
      </c>
      <c r="AO491">
        <v>0</v>
      </c>
      <c r="AP491">
        <v>0</v>
      </c>
    </row>
    <row r="492" spans="4:42" x14ac:dyDescent="0.45">
      <c r="D492">
        <v>2025</v>
      </c>
      <c r="E492">
        <v>4</v>
      </c>
      <c r="F492">
        <v>9180000</v>
      </c>
      <c r="G492">
        <v>747037.07</v>
      </c>
      <c r="H492">
        <v>482198.66</v>
      </c>
      <c r="I492">
        <v>231874.86</v>
      </c>
      <c r="J492">
        <v>14870.59</v>
      </c>
      <c r="K492">
        <v>64</v>
      </c>
      <c r="L492">
        <v>7</v>
      </c>
      <c r="M492">
        <v>38</v>
      </c>
      <c r="N492">
        <v>3</v>
      </c>
      <c r="O492">
        <v>16</v>
      </c>
      <c r="P492">
        <v>76816.13</v>
      </c>
      <c r="Q492">
        <v>113.39</v>
      </c>
      <c r="R492">
        <v>115.91</v>
      </c>
      <c r="S492">
        <v>0</v>
      </c>
      <c r="T492">
        <v>0</v>
      </c>
      <c r="U492">
        <v>0</v>
      </c>
      <c r="V492">
        <v>0</v>
      </c>
      <c r="W492">
        <v>1</v>
      </c>
      <c r="X492">
        <v>0</v>
      </c>
      <c r="Y492">
        <v>0</v>
      </c>
      <c r="Z492">
        <v>0</v>
      </c>
      <c r="AA492">
        <v>0</v>
      </c>
      <c r="AB492">
        <v>0</v>
      </c>
      <c r="AC492">
        <v>0</v>
      </c>
      <c r="AD492">
        <v>0</v>
      </c>
      <c r="AE492">
        <v>0</v>
      </c>
      <c r="AF492">
        <v>0</v>
      </c>
      <c r="AG492">
        <v>0</v>
      </c>
      <c r="AH492">
        <v>0</v>
      </c>
      <c r="AI492">
        <v>0</v>
      </c>
      <c r="AJ492">
        <v>1</v>
      </c>
      <c r="AK492">
        <v>0</v>
      </c>
      <c r="AL492">
        <v>0</v>
      </c>
      <c r="AM492">
        <v>0</v>
      </c>
      <c r="AN492">
        <v>0</v>
      </c>
      <c r="AO492">
        <v>0</v>
      </c>
      <c r="AP492">
        <v>0</v>
      </c>
    </row>
    <row r="493" spans="4:42" x14ac:dyDescent="0.45">
      <c r="D493">
        <v>2025</v>
      </c>
      <c r="E493">
        <v>4</v>
      </c>
      <c r="F493">
        <v>25246000</v>
      </c>
      <c r="G493">
        <v>2149442.7799999998</v>
      </c>
      <c r="H493">
        <v>1707564.18</v>
      </c>
      <c r="I493">
        <v>358787.04</v>
      </c>
      <c r="J493">
        <v>35072.720000000001</v>
      </c>
      <c r="K493">
        <v>181</v>
      </c>
      <c r="L493">
        <v>15</v>
      </c>
      <c r="M493">
        <v>663</v>
      </c>
      <c r="N493">
        <v>9</v>
      </c>
      <c r="O493">
        <v>30</v>
      </c>
      <c r="P493">
        <v>553802.48</v>
      </c>
      <c r="Q493">
        <v>108.45</v>
      </c>
      <c r="R493">
        <v>115.19</v>
      </c>
      <c r="S493">
        <v>0</v>
      </c>
      <c r="T493">
        <v>0</v>
      </c>
      <c r="U493">
        <v>0</v>
      </c>
      <c r="V493">
        <v>0</v>
      </c>
      <c r="W493">
        <v>1</v>
      </c>
      <c r="X493">
        <v>0</v>
      </c>
      <c r="Y493">
        <v>0</v>
      </c>
      <c r="Z493">
        <v>0</v>
      </c>
      <c r="AA493">
        <v>0</v>
      </c>
      <c r="AB493">
        <v>0</v>
      </c>
      <c r="AC493">
        <v>0</v>
      </c>
      <c r="AD493">
        <v>0</v>
      </c>
      <c r="AE493">
        <v>0</v>
      </c>
      <c r="AF493">
        <v>1</v>
      </c>
      <c r="AG493">
        <v>0</v>
      </c>
      <c r="AH493">
        <v>0</v>
      </c>
      <c r="AI493">
        <v>0</v>
      </c>
      <c r="AJ493">
        <v>0</v>
      </c>
      <c r="AK493">
        <v>0</v>
      </c>
      <c r="AL493">
        <v>0</v>
      </c>
      <c r="AM493">
        <v>0</v>
      </c>
      <c r="AN493">
        <v>0</v>
      </c>
      <c r="AO493">
        <v>0</v>
      </c>
      <c r="AP493">
        <v>0</v>
      </c>
    </row>
    <row r="494" spans="4:42" x14ac:dyDescent="0.45">
      <c r="D494">
        <v>2025</v>
      </c>
      <c r="E494">
        <v>4</v>
      </c>
      <c r="F494">
        <v>21803000</v>
      </c>
      <c r="G494">
        <v>1867386.89</v>
      </c>
      <c r="H494">
        <v>879526.82</v>
      </c>
      <c r="I494">
        <v>854994.8</v>
      </c>
      <c r="J494">
        <v>105225.21</v>
      </c>
      <c r="K494">
        <v>101</v>
      </c>
      <c r="L494">
        <v>7</v>
      </c>
      <c r="M494">
        <v>428</v>
      </c>
      <c r="N494">
        <v>3</v>
      </c>
      <c r="O494">
        <v>24</v>
      </c>
      <c r="P494">
        <v>228930.03</v>
      </c>
      <c r="Q494">
        <v>112.26</v>
      </c>
      <c r="R494">
        <v>116.38</v>
      </c>
      <c r="S494">
        <v>0</v>
      </c>
      <c r="T494">
        <v>0</v>
      </c>
      <c r="U494">
        <v>0</v>
      </c>
      <c r="V494">
        <v>0</v>
      </c>
      <c r="W494">
        <v>1</v>
      </c>
      <c r="X494">
        <v>0</v>
      </c>
      <c r="Y494">
        <v>0</v>
      </c>
      <c r="Z494">
        <v>0</v>
      </c>
      <c r="AA494">
        <v>0</v>
      </c>
      <c r="AB494">
        <v>0</v>
      </c>
      <c r="AC494">
        <v>0</v>
      </c>
      <c r="AD494">
        <v>0</v>
      </c>
      <c r="AE494">
        <v>0</v>
      </c>
      <c r="AF494">
        <v>0</v>
      </c>
      <c r="AG494">
        <v>0</v>
      </c>
      <c r="AH494">
        <v>0</v>
      </c>
      <c r="AI494">
        <v>0</v>
      </c>
      <c r="AJ494">
        <v>0</v>
      </c>
      <c r="AK494">
        <v>0</v>
      </c>
      <c r="AL494">
        <v>0</v>
      </c>
      <c r="AM494">
        <v>0</v>
      </c>
      <c r="AN494">
        <v>0</v>
      </c>
      <c r="AO494">
        <v>0</v>
      </c>
      <c r="AP494">
        <v>1</v>
      </c>
    </row>
    <row r="495" spans="4:42" x14ac:dyDescent="0.45">
      <c r="D495">
        <v>2025</v>
      </c>
      <c r="E495">
        <v>4</v>
      </c>
      <c r="F495">
        <v>4016000</v>
      </c>
      <c r="G495">
        <v>355098.05</v>
      </c>
      <c r="H495">
        <v>314964.67</v>
      </c>
      <c r="I495">
        <v>39784.300000000003</v>
      </c>
      <c r="J495">
        <v>4711.4799999999996</v>
      </c>
      <c r="K495">
        <v>29</v>
      </c>
      <c r="L495">
        <v>2</v>
      </c>
      <c r="M495">
        <v>39</v>
      </c>
      <c r="N495">
        <v>4</v>
      </c>
      <c r="O495">
        <v>16</v>
      </c>
      <c r="P495">
        <v>28116.73</v>
      </c>
      <c r="Q495">
        <v>109.23</v>
      </c>
      <c r="R495">
        <v>115</v>
      </c>
      <c r="S495">
        <v>0</v>
      </c>
      <c r="T495">
        <v>0</v>
      </c>
      <c r="U495">
        <v>0</v>
      </c>
      <c r="V495">
        <v>0</v>
      </c>
      <c r="W495">
        <v>1</v>
      </c>
      <c r="X495">
        <v>0</v>
      </c>
      <c r="Y495">
        <v>0</v>
      </c>
      <c r="Z495">
        <v>0</v>
      </c>
      <c r="AA495">
        <v>0</v>
      </c>
      <c r="AB495">
        <v>0</v>
      </c>
      <c r="AC495">
        <v>0</v>
      </c>
      <c r="AD495">
        <v>0</v>
      </c>
      <c r="AE495">
        <v>0</v>
      </c>
      <c r="AF495">
        <v>0</v>
      </c>
      <c r="AG495">
        <v>0</v>
      </c>
      <c r="AH495">
        <v>0</v>
      </c>
      <c r="AI495">
        <v>0</v>
      </c>
      <c r="AJ495">
        <v>0</v>
      </c>
      <c r="AK495">
        <v>0</v>
      </c>
      <c r="AL495">
        <v>0</v>
      </c>
      <c r="AM495">
        <v>0</v>
      </c>
      <c r="AN495">
        <v>0</v>
      </c>
      <c r="AO495">
        <v>0</v>
      </c>
      <c r="AP495">
        <v>0</v>
      </c>
    </row>
    <row r="496" spans="4:42" x14ac:dyDescent="0.45">
      <c r="D496">
        <v>2025</v>
      </c>
      <c r="E496">
        <v>4</v>
      </c>
      <c r="F496">
        <v>28688000</v>
      </c>
      <c r="G496">
        <v>2393098.8199999998</v>
      </c>
      <c r="H496">
        <v>1837933.06</v>
      </c>
      <c r="I496">
        <v>484809.75</v>
      </c>
      <c r="J496">
        <v>79075.570000000007</v>
      </c>
      <c r="K496">
        <v>215</v>
      </c>
      <c r="L496">
        <v>13</v>
      </c>
      <c r="M496">
        <v>674</v>
      </c>
      <c r="N496">
        <v>9</v>
      </c>
      <c r="O496">
        <v>40</v>
      </c>
      <c r="P496">
        <v>750135.88</v>
      </c>
      <c r="Q496">
        <v>105.59</v>
      </c>
      <c r="R496">
        <v>115.51</v>
      </c>
      <c r="S496">
        <v>0</v>
      </c>
      <c r="T496">
        <v>0</v>
      </c>
      <c r="U496">
        <v>0</v>
      </c>
      <c r="V496">
        <v>0</v>
      </c>
      <c r="W496">
        <v>1</v>
      </c>
      <c r="X496">
        <v>0</v>
      </c>
      <c r="Y496">
        <v>0</v>
      </c>
      <c r="Z496">
        <v>0</v>
      </c>
      <c r="AA496">
        <v>0</v>
      </c>
      <c r="AB496">
        <v>0</v>
      </c>
      <c r="AC496">
        <v>0</v>
      </c>
      <c r="AD496">
        <v>0</v>
      </c>
      <c r="AE496">
        <v>0</v>
      </c>
      <c r="AF496">
        <v>0</v>
      </c>
      <c r="AG496">
        <v>0</v>
      </c>
      <c r="AH496">
        <v>0</v>
      </c>
      <c r="AI496">
        <v>0</v>
      </c>
      <c r="AJ496">
        <v>0</v>
      </c>
      <c r="AK496">
        <v>0</v>
      </c>
      <c r="AL496">
        <v>0</v>
      </c>
      <c r="AM496">
        <v>1</v>
      </c>
      <c r="AN496">
        <v>0</v>
      </c>
      <c r="AO496">
        <v>0</v>
      </c>
      <c r="AP496">
        <v>0</v>
      </c>
    </row>
    <row r="497" spans="4:42" x14ac:dyDescent="0.45">
      <c r="D497">
        <v>2025</v>
      </c>
      <c r="E497">
        <v>4</v>
      </c>
      <c r="F497">
        <v>8377000</v>
      </c>
      <c r="G497">
        <v>631221.16</v>
      </c>
      <c r="H497">
        <v>379490.57</v>
      </c>
      <c r="I497">
        <v>202536.09</v>
      </c>
      <c r="J497">
        <v>47965.85</v>
      </c>
      <c r="K497">
        <v>46</v>
      </c>
      <c r="L497">
        <v>0</v>
      </c>
      <c r="M497">
        <v>52</v>
      </c>
      <c r="N497">
        <v>1</v>
      </c>
      <c r="O497">
        <v>19</v>
      </c>
      <c r="P497">
        <v>45905.39</v>
      </c>
      <c r="Q497">
        <v>107.14</v>
      </c>
      <c r="R497">
        <v>114.77</v>
      </c>
      <c r="S497">
        <v>0</v>
      </c>
      <c r="T497">
        <v>0</v>
      </c>
      <c r="U497">
        <v>0</v>
      </c>
      <c r="V497">
        <v>0</v>
      </c>
      <c r="W497">
        <v>1</v>
      </c>
      <c r="X497">
        <v>0</v>
      </c>
      <c r="Y497">
        <v>0</v>
      </c>
      <c r="Z497">
        <v>0</v>
      </c>
      <c r="AA497">
        <v>0</v>
      </c>
      <c r="AB497">
        <v>0</v>
      </c>
      <c r="AC497">
        <v>0</v>
      </c>
      <c r="AD497">
        <v>0</v>
      </c>
      <c r="AE497">
        <v>0</v>
      </c>
      <c r="AF497">
        <v>0</v>
      </c>
      <c r="AG497">
        <v>1</v>
      </c>
      <c r="AH497">
        <v>0</v>
      </c>
      <c r="AI497">
        <v>0</v>
      </c>
      <c r="AJ497">
        <v>0</v>
      </c>
      <c r="AK497">
        <v>0</v>
      </c>
      <c r="AL497">
        <v>0</v>
      </c>
      <c r="AM497">
        <v>0</v>
      </c>
      <c r="AN497">
        <v>0</v>
      </c>
      <c r="AO497">
        <v>0</v>
      </c>
      <c r="AP497">
        <v>0</v>
      </c>
    </row>
    <row r="498" spans="4:42" x14ac:dyDescent="0.45">
      <c r="D498">
        <v>2025</v>
      </c>
      <c r="E498">
        <v>4</v>
      </c>
      <c r="F498">
        <v>5508000</v>
      </c>
      <c r="G498">
        <v>474824.34</v>
      </c>
      <c r="H498">
        <v>396526.76</v>
      </c>
      <c r="I498">
        <v>65677.570000000007</v>
      </c>
      <c r="J498">
        <v>5274.46</v>
      </c>
      <c r="K498">
        <v>39</v>
      </c>
      <c r="L498">
        <v>4</v>
      </c>
      <c r="M498">
        <v>66</v>
      </c>
      <c r="N498">
        <v>2</v>
      </c>
      <c r="O498">
        <v>12</v>
      </c>
      <c r="P498">
        <v>30776.69</v>
      </c>
      <c r="Q498">
        <v>109.79</v>
      </c>
      <c r="R498">
        <v>115.81</v>
      </c>
      <c r="S498">
        <v>0</v>
      </c>
      <c r="T498">
        <v>0</v>
      </c>
      <c r="U498">
        <v>0</v>
      </c>
      <c r="V498">
        <v>0</v>
      </c>
      <c r="W498">
        <v>1</v>
      </c>
      <c r="X498">
        <v>0</v>
      </c>
      <c r="Y498">
        <v>0</v>
      </c>
      <c r="Z498">
        <v>0</v>
      </c>
      <c r="AA498">
        <v>0</v>
      </c>
      <c r="AB498">
        <v>0</v>
      </c>
      <c r="AC498">
        <v>0</v>
      </c>
      <c r="AD498">
        <v>1</v>
      </c>
      <c r="AE498">
        <v>0</v>
      </c>
      <c r="AF498">
        <v>0</v>
      </c>
      <c r="AG498">
        <v>0</v>
      </c>
      <c r="AH498">
        <v>0</v>
      </c>
      <c r="AI498">
        <v>0</v>
      </c>
      <c r="AJ498">
        <v>0</v>
      </c>
      <c r="AK498">
        <v>0</v>
      </c>
      <c r="AL498">
        <v>0</v>
      </c>
      <c r="AM498">
        <v>0</v>
      </c>
      <c r="AN498">
        <v>0</v>
      </c>
      <c r="AO498">
        <v>0</v>
      </c>
      <c r="AP498">
        <v>0</v>
      </c>
    </row>
    <row r="499" spans="4:42" x14ac:dyDescent="0.45">
      <c r="D499">
        <v>2025</v>
      </c>
      <c r="E499">
        <v>4</v>
      </c>
      <c r="F499">
        <v>15492000</v>
      </c>
      <c r="G499">
        <v>1292202.7</v>
      </c>
      <c r="H499">
        <v>646951.16</v>
      </c>
      <c r="I499">
        <v>548410.4</v>
      </c>
      <c r="J499">
        <v>89736.85</v>
      </c>
      <c r="K499">
        <v>85</v>
      </c>
      <c r="L499">
        <v>8</v>
      </c>
      <c r="M499">
        <v>245</v>
      </c>
      <c r="N499">
        <v>5</v>
      </c>
      <c r="O499">
        <v>21</v>
      </c>
      <c r="P499">
        <v>221123.52</v>
      </c>
      <c r="Q499">
        <v>110.63</v>
      </c>
      <c r="R499">
        <v>115.27</v>
      </c>
      <c r="S499">
        <v>0</v>
      </c>
      <c r="T499">
        <v>0</v>
      </c>
      <c r="U499">
        <v>0</v>
      </c>
      <c r="V499">
        <v>0</v>
      </c>
      <c r="W499">
        <v>1</v>
      </c>
      <c r="X499">
        <v>0</v>
      </c>
      <c r="Y499">
        <v>0</v>
      </c>
      <c r="Z499">
        <v>0</v>
      </c>
      <c r="AA499">
        <v>0</v>
      </c>
      <c r="AB499">
        <v>0</v>
      </c>
      <c r="AC499">
        <v>0</v>
      </c>
      <c r="AD499">
        <v>0</v>
      </c>
      <c r="AE499">
        <v>0</v>
      </c>
      <c r="AF499">
        <v>0</v>
      </c>
      <c r="AG499">
        <v>0</v>
      </c>
      <c r="AH499">
        <v>0</v>
      </c>
      <c r="AI499">
        <v>0</v>
      </c>
      <c r="AJ499">
        <v>0</v>
      </c>
      <c r="AK499">
        <v>0</v>
      </c>
      <c r="AL499">
        <v>0</v>
      </c>
      <c r="AM499">
        <v>0</v>
      </c>
      <c r="AN499">
        <v>1</v>
      </c>
      <c r="AO499">
        <v>0</v>
      </c>
      <c r="AP499">
        <v>0</v>
      </c>
    </row>
    <row r="500" spans="4:42" x14ac:dyDescent="0.45">
      <c r="D500">
        <v>2025</v>
      </c>
      <c r="E500">
        <v>4</v>
      </c>
      <c r="F500">
        <v>4820000</v>
      </c>
      <c r="G500">
        <v>412900.46</v>
      </c>
      <c r="H500">
        <v>344915.59</v>
      </c>
      <c r="I500">
        <v>61531.47</v>
      </c>
      <c r="J500">
        <v>2808.27</v>
      </c>
      <c r="K500">
        <v>35</v>
      </c>
      <c r="L500">
        <v>0</v>
      </c>
      <c r="M500">
        <v>0</v>
      </c>
      <c r="N500">
        <v>3</v>
      </c>
      <c r="O500">
        <v>14</v>
      </c>
      <c r="P500">
        <v>33929.040000000001</v>
      </c>
      <c r="Q500">
        <v>109.88</v>
      </c>
      <c r="R500">
        <v>114.94</v>
      </c>
      <c r="S500">
        <v>0</v>
      </c>
      <c r="T500">
        <v>0</v>
      </c>
      <c r="U500">
        <v>0</v>
      </c>
      <c r="V500">
        <v>0</v>
      </c>
      <c r="W500">
        <v>1</v>
      </c>
      <c r="X500">
        <v>0</v>
      </c>
      <c r="Y500">
        <v>0</v>
      </c>
      <c r="Z500">
        <v>0</v>
      </c>
      <c r="AA500">
        <v>0</v>
      </c>
      <c r="AB500">
        <v>0</v>
      </c>
      <c r="AC500">
        <v>0</v>
      </c>
      <c r="AD500">
        <v>0</v>
      </c>
      <c r="AE500">
        <v>0</v>
      </c>
      <c r="AF500">
        <v>0</v>
      </c>
      <c r="AG500">
        <v>0</v>
      </c>
      <c r="AH500">
        <v>0</v>
      </c>
      <c r="AI500">
        <v>0</v>
      </c>
      <c r="AJ500">
        <v>0</v>
      </c>
      <c r="AK500">
        <v>0</v>
      </c>
      <c r="AL500">
        <v>1</v>
      </c>
      <c r="AM500">
        <v>0</v>
      </c>
      <c r="AN500">
        <v>0</v>
      </c>
      <c r="AO500">
        <v>0</v>
      </c>
      <c r="AP500">
        <v>0</v>
      </c>
    </row>
    <row r="501" spans="4:42" x14ac:dyDescent="0.45">
      <c r="D501">
        <v>2025</v>
      </c>
      <c r="E501">
        <v>4</v>
      </c>
      <c r="F501">
        <v>7115000</v>
      </c>
      <c r="G501">
        <v>558412.89</v>
      </c>
      <c r="H501">
        <v>302784.67</v>
      </c>
      <c r="I501">
        <v>229178.63</v>
      </c>
      <c r="J501">
        <v>36382.69</v>
      </c>
      <c r="K501">
        <v>33</v>
      </c>
      <c r="L501">
        <v>1</v>
      </c>
      <c r="M501">
        <v>47</v>
      </c>
      <c r="N501">
        <v>4</v>
      </c>
      <c r="O501">
        <v>16</v>
      </c>
      <c r="P501">
        <v>59083.040000000001</v>
      </c>
      <c r="Q501">
        <v>107.29</v>
      </c>
      <c r="R501">
        <v>115.1</v>
      </c>
      <c r="S501">
        <v>0</v>
      </c>
      <c r="T501">
        <v>0</v>
      </c>
      <c r="U501">
        <v>0</v>
      </c>
      <c r="V501">
        <v>0</v>
      </c>
      <c r="W501">
        <v>1</v>
      </c>
      <c r="X501">
        <v>0</v>
      </c>
      <c r="Y501">
        <v>0</v>
      </c>
      <c r="Z501">
        <v>0</v>
      </c>
      <c r="AA501">
        <v>0</v>
      </c>
      <c r="AB501">
        <v>0</v>
      </c>
      <c r="AC501">
        <v>0</v>
      </c>
      <c r="AD501">
        <v>0</v>
      </c>
      <c r="AE501">
        <v>0</v>
      </c>
      <c r="AF501">
        <v>0</v>
      </c>
      <c r="AG501">
        <v>0</v>
      </c>
      <c r="AH501">
        <v>0</v>
      </c>
      <c r="AI501">
        <v>1</v>
      </c>
      <c r="AJ501">
        <v>0</v>
      </c>
      <c r="AK501">
        <v>0</v>
      </c>
      <c r="AL501">
        <v>0</v>
      </c>
      <c r="AM501">
        <v>0</v>
      </c>
      <c r="AN501">
        <v>0</v>
      </c>
      <c r="AO501">
        <v>0</v>
      </c>
      <c r="AP501">
        <v>0</v>
      </c>
    </row>
    <row r="502" spans="4:42" x14ac:dyDescent="0.45">
      <c r="D502">
        <v>2025</v>
      </c>
      <c r="E502">
        <v>5</v>
      </c>
      <c r="F502">
        <v>25246000</v>
      </c>
      <c r="G502">
        <v>2155827.15</v>
      </c>
      <c r="H502">
        <v>1669536.47</v>
      </c>
      <c r="I502">
        <v>377295.63</v>
      </c>
      <c r="J502">
        <v>49131.64</v>
      </c>
      <c r="K502">
        <v>175</v>
      </c>
      <c r="L502">
        <v>14</v>
      </c>
      <c r="M502">
        <v>711</v>
      </c>
      <c r="N502">
        <v>8</v>
      </c>
      <c r="O502">
        <v>35</v>
      </c>
      <c r="P502">
        <v>547815.68999999994</v>
      </c>
      <c r="Q502">
        <v>108.58</v>
      </c>
      <c r="R502">
        <v>115.1</v>
      </c>
      <c r="S502">
        <v>0</v>
      </c>
      <c r="T502">
        <v>0</v>
      </c>
      <c r="U502">
        <v>0</v>
      </c>
      <c r="V502">
        <v>1</v>
      </c>
      <c r="W502">
        <v>0</v>
      </c>
      <c r="X502">
        <v>0</v>
      </c>
      <c r="Y502">
        <v>0</v>
      </c>
      <c r="Z502">
        <v>0</v>
      </c>
      <c r="AA502">
        <v>0</v>
      </c>
      <c r="AB502">
        <v>0</v>
      </c>
      <c r="AC502">
        <v>0</v>
      </c>
      <c r="AD502">
        <v>0</v>
      </c>
      <c r="AE502">
        <v>1</v>
      </c>
      <c r="AF502">
        <v>0</v>
      </c>
      <c r="AG502">
        <v>0</v>
      </c>
      <c r="AH502">
        <v>0</v>
      </c>
      <c r="AI502">
        <v>0</v>
      </c>
      <c r="AJ502">
        <v>0</v>
      </c>
      <c r="AK502">
        <v>0</v>
      </c>
      <c r="AL502">
        <v>0</v>
      </c>
      <c r="AM502">
        <v>0</v>
      </c>
      <c r="AN502">
        <v>0</v>
      </c>
      <c r="AO502">
        <v>0</v>
      </c>
      <c r="AP502">
        <v>0</v>
      </c>
    </row>
    <row r="503" spans="4:42" x14ac:dyDescent="0.45">
      <c r="D503">
        <v>2025</v>
      </c>
      <c r="E503">
        <v>5</v>
      </c>
      <c r="F503">
        <v>15492000</v>
      </c>
      <c r="G503">
        <v>1197070.67</v>
      </c>
      <c r="H503">
        <v>661156.21</v>
      </c>
      <c r="I503">
        <v>495285.66</v>
      </c>
      <c r="J503">
        <v>65731.929999999993</v>
      </c>
      <c r="K503">
        <v>82</v>
      </c>
      <c r="L503">
        <v>6</v>
      </c>
      <c r="M503">
        <v>149</v>
      </c>
      <c r="N503">
        <v>4</v>
      </c>
      <c r="O503">
        <v>23</v>
      </c>
      <c r="P503">
        <v>201558.51</v>
      </c>
      <c r="Q503">
        <v>111.75</v>
      </c>
      <c r="R503">
        <v>115.87</v>
      </c>
      <c r="S503">
        <v>0</v>
      </c>
      <c r="T503">
        <v>0</v>
      </c>
      <c r="U503">
        <v>0</v>
      </c>
      <c r="V503">
        <v>1</v>
      </c>
      <c r="W503">
        <v>0</v>
      </c>
      <c r="X503">
        <v>0</v>
      </c>
      <c r="Y503">
        <v>0</v>
      </c>
      <c r="Z503">
        <v>0</v>
      </c>
      <c r="AA503">
        <v>0</v>
      </c>
      <c r="AB503">
        <v>0</v>
      </c>
      <c r="AC503">
        <v>0</v>
      </c>
      <c r="AD503">
        <v>0</v>
      </c>
      <c r="AE503">
        <v>0</v>
      </c>
      <c r="AF503">
        <v>0</v>
      </c>
      <c r="AG503">
        <v>0</v>
      </c>
      <c r="AH503">
        <v>0</v>
      </c>
      <c r="AI503">
        <v>0</v>
      </c>
      <c r="AJ503">
        <v>0</v>
      </c>
      <c r="AK503">
        <v>0</v>
      </c>
      <c r="AL503">
        <v>0</v>
      </c>
      <c r="AM503">
        <v>0</v>
      </c>
      <c r="AN503">
        <v>1</v>
      </c>
      <c r="AO503">
        <v>0</v>
      </c>
      <c r="AP503">
        <v>0</v>
      </c>
    </row>
    <row r="504" spans="4:42" x14ac:dyDescent="0.45">
      <c r="D504">
        <v>2025</v>
      </c>
      <c r="E504">
        <v>5</v>
      </c>
      <c r="F504">
        <v>15492000</v>
      </c>
      <c r="G504">
        <v>1197070.67</v>
      </c>
      <c r="H504">
        <v>661156.21</v>
      </c>
      <c r="I504">
        <v>495285.66</v>
      </c>
      <c r="J504">
        <v>65731.929999999993</v>
      </c>
      <c r="K504">
        <v>82</v>
      </c>
      <c r="L504">
        <v>6</v>
      </c>
      <c r="M504">
        <v>149</v>
      </c>
      <c r="N504">
        <v>4</v>
      </c>
      <c r="O504">
        <v>23</v>
      </c>
      <c r="P504">
        <v>201558.51</v>
      </c>
      <c r="Q504">
        <v>111.75</v>
      </c>
      <c r="R504">
        <v>115.87</v>
      </c>
      <c r="S504">
        <v>0</v>
      </c>
      <c r="T504">
        <v>0</v>
      </c>
      <c r="U504">
        <v>0</v>
      </c>
      <c r="V504">
        <v>1</v>
      </c>
      <c r="W504">
        <v>0</v>
      </c>
      <c r="X504">
        <v>0</v>
      </c>
      <c r="Y504">
        <v>0</v>
      </c>
      <c r="Z504">
        <v>0</v>
      </c>
      <c r="AA504">
        <v>0</v>
      </c>
      <c r="AB504">
        <v>0</v>
      </c>
      <c r="AC504">
        <v>0</v>
      </c>
      <c r="AD504">
        <v>0</v>
      </c>
      <c r="AE504">
        <v>0</v>
      </c>
      <c r="AF504">
        <v>0</v>
      </c>
      <c r="AG504">
        <v>0</v>
      </c>
      <c r="AH504">
        <v>0</v>
      </c>
      <c r="AI504">
        <v>0</v>
      </c>
      <c r="AJ504">
        <v>0</v>
      </c>
      <c r="AK504">
        <v>0</v>
      </c>
      <c r="AL504">
        <v>0</v>
      </c>
      <c r="AM504">
        <v>0</v>
      </c>
      <c r="AN504">
        <v>1</v>
      </c>
      <c r="AO504">
        <v>0</v>
      </c>
      <c r="AP504">
        <v>0</v>
      </c>
    </row>
    <row r="505" spans="4:42" x14ac:dyDescent="0.45">
      <c r="D505">
        <v>2025</v>
      </c>
      <c r="E505">
        <v>5</v>
      </c>
      <c r="F505">
        <v>8377000</v>
      </c>
      <c r="G505">
        <v>616042.56999999995</v>
      </c>
      <c r="H505">
        <v>362930.33</v>
      </c>
      <c r="I505">
        <v>231161.98</v>
      </c>
      <c r="J505">
        <v>31920.02</v>
      </c>
      <c r="K505">
        <v>44</v>
      </c>
      <c r="L505">
        <v>6</v>
      </c>
      <c r="M505">
        <v>79</v>
      </c>
      <c r="N505">
        <v>0</v>
      </c>
      <c r="O505">
        <v>13</v>
      </c>
      <c r="P505">
        <v>14129.91</v>
      </c>
      <c r="Q505">
        <v>112.17</v>
      </c>
      <c r="R505">
        <v>115.45</v>
      </c>
      <c r="S505">
        <v>0</v>
      </c>
      <c r="T505">
        <v>0</v>
      </c>
      <c r="U505">
        <v>0</v>
      </c>
      <c r="V505">
        <v>1</v>
      </c>
      <c r="W505">
        <v>0</v>
      </c>
      <c r="X505">
        <v>0</v>
      </c>
      <c r="Y505">
        <v>0</v>
      </c>
      <c r="Z505">
        <v>0</v>
      </c>
      <c r="AA505">
        <v>0</v>
      </c>
      <c r="AB505">
        <v>0</v>
      </c>
      <c r="AC505">
        <v>0</v>
      </c>
      <c r="AD505">
        <v>0</v>
      </c>
      <c r="AE505">
        <v>0</v>
      </c>
      <c r="AF505">
        <v>0</v>
      </c>
      <c r="AG505">
        <v>1</v>
      </c>
      <c r="AH505">
        <v>0</v>
      </c>
      <c r="AI505">
        <v>0</v>
      </c>
      <c r="AJ505">
        <v>0</v>
      </c>
      <c r="AK505">
        <v>0</v>
      </c>
      <c r="AL505">
        <v>0</v>
      </c>
      <c r="AM505">
        <v>0</v>
      </c>
      <c r="AN505">
        <v>0</v>
      </c>
      <c r="AO505">
        <v>0</v>
      </c>
      <c r="AP505">
        <v>0</v>
      </c>
    </row>
    <row r="506" spans="4:42" x14ac:dyDescent="0.45">
      <c r="D506">
        <v>2025</v>
      </c>
      <c r="E506">
        <v>5</v>
      </c>
      <c r="F506">
        <v>7115000</v>
      </c>
      <c r="G506">
        <v>647068.03</v>
      </c>
      <c r="H506">
        <v>309222.82</v>
      </c>
      <c r="I506">
        <v>237012.06</v>
      </c>
      <c r="J506">
        <v>118236.13</v>
      </c>
      <c r="K506">
        <v>32</v>
      </c>
      <c r="L506">
        <v>2</v>
      </c>
      <c r="M506">
        <v>28</v>
      </c>
      <c r="N506">
        <v>6</v>
      </c>
      <c r="O506">
        <v>15</v>
      </c>
      <c r="P506">
        <v>107024.23</v>
      </c>
      <c r="Q506">
        <v>108.59</v>
      </c>
      <c r="R506">
        <v>115.47</v>
      </c>
      <c r="S506">
        <v>0</v>
      </c>
      <c r="T506">
        <v>0</v>
      </c>
      <c r="U506">
        <v>0</v>
      </c>
      <c r="V506">
        <v>1</v>
      </c>
      <c r="W506">
        <v>0</v>
      </c>
      <c r="X506">
        <v>0</v>
      </c>
      <c r="Y506">
        <v>0</v>
      </c>
      <c r="Z506">
        <v>0</v>
      </c>
      <c r="AA506">
        <v>0</v>
      </c>
      <c r="AB506">
        <v>0</v>
      </c>
      <c r="AC506">
        <v>0</v>
      </c>
      <c r="AD506">
        <v>0</v>
      </c>
      <c r="AE506">
        <v>0</v>
      </c>
      <c r="AF506">
        <v>0</v>
      </c>
      <c r="AG506">
        <v>0</v>
      </c>
      <c r="AH506">
        <v>1</v>
      </c>
      <c r="AI506">
        <v>0</v>
      </c>
      <c r="AJ506">
        <v>0</v>
      </c>
      <c r="AK506">
        <v>0</v>
      </c>
      <c r="AL506">
        <v>0</v>
      </c>
      <c r="AM506">
        <v>0</v>
      </c>
      <c r="AN506">
        <v>0</v>
      </c>
      <c r="AO506">
        <v>0</v>
      </c>
      <c r="AP506">
        <v>0</v>
      </c>
    </row>
    <row r="507" spans="4:42" x14ac:dyDescent="0.45">
      <c r="D507">
        <v>2025</v>
      </c>
      <c r="E507">
        <v>5</v>
      </c>
      <c r="F507">
        <v>28688000</v>
      </c>
      <c r="G507">
        <v>2633769.0299999998</v>
      </c>
      <c r="H507">
        <v>1945218.8</v>
      </c>
      <c r="I507">
        <v>533096.71</v>
      </c>
      <c r="J507">
        <v>91298.19</v>
      </c>
      <c r="K507">
        <v>219</v>
      </c>
      <c r="L507">
        <v>16</v>
      </c>
      <c r="M507">
        <v>890</v>
      </c>
      <c r="N507">
        <v>10</v>
      </c>
      <c r="O507">
        <v>29</v>
      </c>
      <c r="P507">
        <v>471764.29</v>
      </c>
      <c r="Q507">
        <v>109.31</v>
      </c>
      <c r="R507">
        <v>114.81</v>
      </c>
      <c r="S507">
        <v>0</v>
      </c>
      <c r="T507">
        <v>0</v>
      </c>
      <c r="U507">
        <v>0</v>
      </c>
      <c r="V507">
        <v>1</v>
      </c>
      <c r="W507">
        <v>0</v>
      </c>
      <c r="X507">
        <v>0</v>
      </c>
      <c r="Y507">
        <v>0</v>
      </c>
      <c r="Z507">
        <v>0</v>
      </c>
      <c r="AA507">
        <v>0</v>
      </c>
      <c r="AB507">
        <v>0</v>
      </c>
      <c r="AC507">
        <v>0</v>
      </c>
      <c r="AD507">
        <v>0</v>
      </c>
      <c r="AE507">
        <v>0</v>
      </c>
      <c r="AF507">
        <v>0</v>
      </c>
      <c r="AG507">
        <v>0</v>
      </c>
      <c r="AH507">
        <v>0</v>
      </c>
      <c r="AI507">
        <v>0</v>
      </c>
      <c r="AJ507">
        <v>0</v>
      </c>
      <c r="AK507">
        <v>0</v>
      </c>
      <c r="AL507">
        <v>0</v>
      </c>
      <c r="AM507">
        <v>1</v>
      </c>
      <c r="AN507">
        <v>0</v>
      </c>
      <c r="AO507">
        <v>0</v>
      </c>
      <c r="AP507">
        <v>0</v>
      </c>
    </row>
    <row r="508" spans="4:42" x14ac:dyDescent="0.45">
      <c r="D508">
        <v>2025</v>
      </c>
      <c r="E508">
        <v>5</v>
      </c>
      <c r="F508">
        <v>21803000</v>
      </c>
      <c r="G508">
        <v>2003490.57</v>
      </c>
      <c r="H508">
        <v>866149.16</v>
      </c>
      <c r="I508">
        <v>984301.91</v>
      </c>
      <c r="J508">
        <v>63375.54</v>
      </c>
      <c r="K508">
        <v>98</v>
      </c>
      <c r="L508">
        <v>4</v>
      </c>
      <c r="M508">
        <v>399</v>
      </c>
      <c r="N508">
        <v>5</v>
      </c>
      <c r="O508">
        <v>26</v>
      </c>
      <c r="P508">
        <v>301048.89</v>
      </c>
      <c r="Q508">
        <v>112.73</v>
      </c>
      <c r="R508">
        <v>115.28</v>
      </c>
      <c r="S508">
        <v>0</v>
      </c>
      <c r="T508">
        <v>0</v>
      </c>
      <c r="U508">
        <v>0</v>
      </c>
      <c r="V508">
        <v>1</v>
      </c>
      <c r="W508">
        <v>0</v>
      </c>
      <c r="X508">
        <v>0</v>
      </c>
      <c r="Y508">
        <v>0</v>
      </c>
      <c r="Z508">
        <v>0</v>
      </c>
      <c r="AA508">
        <v>0</v>
      </c>
      <c r="AB508">
        <v>0</v>
      </c>
      <c r="AC508">
        <v>0</v>
      </c>
      <c r="AD508">
        <v>0</v>
      </c>
      <c r="AE508">
        <v>0</v>
      </c>
      <c r="AF508">
        <v>0</v>
      </c>
      <c r="AG508">
        <v>0</v>
      </c>
      <c r="AH508">
        <v>0</v>
      </c>
      <c r="AI508">
        <v>0</v>
      </c>
      <c r="AJ508">
        <v>0</v>
      </c>
      <c r="AK508">
        <v>0</v>
      </c>
      <c r="AL508">
        <v>0</v>
      </c>
      <c r="AM508">
        <v>0</v>
      </c>
      <c r="AN508">
        <v>0</v>
      </c>
      <c r="AO508">
        <v>0</v>
      </c>
      <c r="AP508">
        <v>1</v>
      </c>
    </row>
    <row r="509" spans="4:42" x14ac:dyDescent="0.45">
      <c r="D509">
        <v>2025</v>
      </c>
      <c r="E509">
        <v>5</v>
      </c>
      <c r="F509">
        <v>9180000</v>
      </c>
      <c r="G509">
        <v>674016.34</v>
      </c>
      <c r="H509">
        <v>473369.69</v>
      </c>
      <c r="I509">
        <v>202441.06</v>
      </c>
      <c r="J509">
        <v>15184.3</v>
      </c>
      <c r="K509">
        <v>65</v>
      </c>
      <c r="L509">
        <v>2</v>
      </c>
      <c r="M509">
        <v>75</v>
      </c>
      <c r="N509">
        <v>1</v>
      </c>
      <c r="O509">
        <v>14</v>
      </c>
      <c r="P509">
        <v>35896.36</v>
      </c>
      <c r="Q509">
        <v>110.12</v>
      </c>
      <c r="R509">
        <v>115.59</v>
      </c>
      <c r="S509">
        <v>0</v>
      </c>
      <c r="T509">
        <v>0</v>
      </c>
      <c r="U509">
        <v>0</v>
      </c>
      <c r="V509">
        <v>1</v>
      </c>
      <c r="W509">
        <v>0</v>
      </c>
      <c r="X509">
        <v>0</v>
      </c>
      <c r="Y509">
        <v>0</v>
      </c>
      <c r="Z509">
        <v>0</v>
      </c>
      <c r="AA509">
        <v>0</v>
      </c>
      <c r="AB509">
        <v>0</v>
      </c>
      <c r="AC509">
        <v>0</v>
      </c>
      <c r="AD509">
        <v>0</v>
      </c>
      <c r="AE509">
        <v>0</v>
      </c>
      <c r="AF509">
        <v>0</v>
      </c>
      <c r="AG509">
        <v>0</v>
      </c>
      <c r="AH509">
        <v>0</v>
      </c>
      <c r="AI509">
        <v>0</v>
      </c>
      <c r="AJ509">
        <v>1</v>
      </c>
      <c r="AK509">
        <v>0</v>
      </c>
      <c r="AL509">
        <v>0</v>
      </c>
      <c r="AM509">
        <v>0</v>
      </c>
      <c r="AN509">
        <v>0</v>
      </c>
      <c r="AO509">
        <v>0</v>
      </c>
      <c r="AP509">
        <v>0</v>
      </c>
    </row>
    <row r="510" spans="4:42" x14ac:dyDescent="0.45">
      <c r="D510">
        <v>2025</v>
      </c>
      <c r="E510">
        <v>5</v>
      </c>
      <c r="F510">
        <v>4016000</v>
      </c>
      <c r="G510">
        <v>343635.46</v>
      </c>
      <c r="H510">
        <v>283679.90000000002</v>
      </c>
      <c r="I510">
        <v>42006.68</v>
      </c>
      <c r="J510">
        <v>21045.919999999998</v>
      </c>
      <c r="K510">
        <v>28</v>
      </c>
      <c r="L510">
        <v>2</v>
      </c>
      <c r="M510">
        <v>5</v>
      </c>
      <c r="N510">
        <v>3</v>
      </c>
      <c r="O510">
        <v>9</v>
      </c>
      <c r="P510">
        <v>29999.37</v>
      </c>
      <c r="Q510">
        <v>111.81</v>
      </c>
      <c r="R510">
        <v>115.58</v>
      </c>
      <c r="S510">
        <v>0</v>
      </c>
      <c r="T510">
        <v>0</v>
      </c>
      <c r="U510">
        <v>0</v>
      </c>
      <c r="V510">
        <v>1</v>
      </c>
      <c r="W510">
        <v>0</v>
      </c>
      <c r="X510">
        <v>0</v>
      </c>
      <c r="Y510">
        <v>0</v>
      </c>
      <c r="Z510">
        <v>0</v>
      </c>
      <c r="AA510">
        <v>0</v>
      </c>
      <c r="AB510">
        <v>0</v>
      </c>
      <c r="AC510">
        <v>0</v>
      </c>
      <c r="AD510">
        <v>0</v>
      </c>
      <c r="AE510">
        <v>0</v>
      </c>
      <c r="AF510">
        <v>0</v>
      </c>
      <c r="AG510">
        <v>0</v>
      </c>
      <c r="AH510">
        <v>0</v>
      </c>
      <c r="AI510">
        <v>0</v>
      </c>
      <c r="AJ510">
        <v>0</v>
      </c>
      <c r="AK510">
        <v>0</v>
      </c>
      <c r="AL510">
        <v>0</v>
      </c>
      <c r="AM510">
        <v>0</v>
      </c>
      <c r="AN510">
        <v>0</v>
      </c>
      <c r="AO510">
        <v>0</v>
      </c>
      <c r="AP510">
        <v>0</v>
      </c>
    </row>
    <row r="511" spans="4:42" x14ac:dyDescent="0.45">
      <c r="D511">
        <v>2025</v>
      </c>
      <c r="E511">
        <v>5</v>
      </c>
      <c r="F511">
        <v>4820000</v>
      </c>
      <c r="G511">
        <v>407328.43</v>
      </c>
      <c r="H511">
        <v>342486.85</v>
      </c>
      <c r="I511">
        <v>57716.959999999999</v>
      </c>
      <c r="J511">
        <v>9109.14</v>
      </c>
      <c r="K511">
        <v>33</v>
      </c>
      <c r="L511">
        <v>0</v>
      </c>
      <c r="M511">
        <v>52</v>
      </c>
      <c r="N511">
        <v>2</v>
      </c>
      <c r="O511">
        <v>13</v>
      </c>
      <c r="P511">
        <v>33657.42</v>
      </c>
      <c r="Q511">
        <v>109.8</v>
      </c>
      <c r="R511">
        <v>114.97</v>
      </c>
      <c r="S511">
        <v>0</v>
      </c>
      <c r="T511">
        <v>0</v>
      </c>
      <c r="U511">
        <v>0</v>
      </c>
      <c r="V511">
        <v>1</v>
      </c>
      <c r="W511">
        <v>0</v>
      </c>
      <c r="X511">
        <v>0</v>
      </c>
      <c r="Y511">
        <v>0</v>
      </c>
      <c r="Z511">
        <v>0</v>
      </c>
      <c r="AA511">
        <v>0</v>
      </c>
      <c r="AB511">
        <v>0</v>
      </c>
      <c r="AC511">
        <v>0</v>
      </c>
      <c r="AD511">
        <v>0</v>
      </c>
      <c r="AE511">
        <v>0</v>
      </c>
      <c r="AF511">
        <v>0</v>
      </c>
      <c r="AG511">
        <v>0</v>
      </c>
      <c r="AH511">
        <v>0</v>
      </c>
      <c r="AI511">
        <v>0</v>
      </c>
      <c r="AJ511">
        <v>0</v>
      </c>
      <c r="AK511">
        <v>0</v>
      </c>
      <c r="AL511">
        <v>1</v>
      </c>
      <c r="AM511">
        <v>0</v>
      </c>
      <c r="AN511">
        <v>0</v>
      </c>
      <c r="AO511">
        <v>0</v>
      </c>
      <c r="AP511">
        <v>0</v>
      </c>
    </row>
    <row r="512" spans="4:42" x14ac:dyDescent="0.45">
      <c r="D512">
        <v>2025</v>
      </c>
      <c r="E512">
        <v>5</v>
      </c>
      <c r="F512">
        <v>5508000</v>
      </c>
      <c r="G512">
        <v>508595.98</v>
      </c>
      <c r="H512">
        <v>386922.68</v>
      </c>
      <c r="I512">
        <v>65235.81</v>
      </c>
      <c r="J512">
        <v>51217.2</v>
      </c>
      <c r="K512">
        <v>38</v>
      </c>
      <c r="L512">
        <v>4</v>
      </c>
      <c r="M512">
        <v>55</v>
      </c>
      <c r="N512">
        <v>1</v>
      </c>
      <c r="O512">
        <v>13</v>
      </c>
      <c r="P512">
        <v>20856.04</v>
      </c>
      <c r="Q512">
        <v>109.7</v>
      </c>
      <c r="R512">
        <v>114.96</v>
      </c>
      <c r="S512">
        <v>0</v>
      </c>
      <c r="T512">
        <v>0</v>
      </c>
      <c r="U512">
        <v>0</v>
      </c>
      <c r="V512">
        <v>1</v>
      </c>
      <c r="W512">
        <v>0</v>
      </c>
      <c r="X512">
        <v>0</v>
      </c>
      <c r="Y512">
        <v>0</v>
      </c>
      <c r="Z512">
        <v>0</v>
      </c>
      <c r="AA512">
        <v>0</v>
      </c>
      <c r="AB512">
        <v>0</v>
      </c>
      <c r="AC512">
        <v>0</v>
      </c>
      <c r="AD512">
        <v>1</v>
      </c>
      <c r="AE512">
        <v>0</v>
      </c>
      <c r="AF512">
        <v>0</v>
      </c>
      <c r="AG512">
        <v>0</v>
      </c>
      <c r="AH512">
        <v>0</v>
      </c>
      <c r="AI512">
        <v>0</v>
      </c>
      <c r="AJ512">
        <v>0</v>
      </c>
      <c r="AK512">
        <v>0</v>
      </c>
      <c r="AL512">
        <v>0</v>
      </c>
      <c r="AM512">
        <v>0</v>
      </c>
      <c r="AN512">
        <v>0</v>
      </c>
      <c r="AO512">
        <v>0</v>
      </c>
      <c r="AP512">
        <v>0</v>
      </c>
    </row>
    <row r="513" spans="4:42" x14ac:dyDescent="0.45">
      <c r="D513">
        <v>2025</v>
      </c>
      <c r="E513">
        <v>6</v>
      </c>
      <c r="F513">
        <v>21803000</v>
      </c>
      <c r="G513">
        <v>1712596.87</v>
      </c>
      <c r="H513">
        <v>835478.91</v>
      </c>
      <c r="I513">
        <v>813679.37</v>
      </c>
      <c r="J513">
        <v>72505.8</v>
      </c>
      <c r="K513">
        <v>97</v>
      </c>
      <c r="L513">
        <v>8</v>
      </c>
      <c r="M513">
        <v>413</v>
      </c>
      <c r="N513">
        <v>5</v>
      </c>
      <c r="O513">
        <v>23</v>
      </c>
      <c r="P513">
        <v>348850.6</v>
      </c>
      <c r="Q513">
        <v>112.86</v>
      </c>
      <c r="R513">
        <v>115.5</v>
      </c>
      <c r="S513">
        <v>0</v>
      </c>
      <c r="T513">
        <v>0</v>
      </c>
      <c r="U513">
        <v>0</v>
      </c>
      <c r="V513">
        <v>0</v>
      </c>
      <c r="W513">
        <v>0</v>
      </c>
      <c r="X513">
        <v>0</v>
      </c>
      <c r="Y513">
        <v>0</v>
      </c>
      <c r="Z513">
        <v>1</v>
      </c>
      <c r="AA513">
        <v>0</v>
      </c>
      <c r="AB513">
        <v>0</v>
      </c>
      <c r="AC513">
        <v>0</v>
      </c>
      <c r="AD513">
        <v>0</v>
      </c>
      <c r="AE513">
        <v>0</v>
      </c>
      <c r="AF513">
        <v>0</v>
      </c>
      <c r="AG513">
        <v>0</v>
      </c>
      <c r="AH513">
        <v>0</v>
      </c>
      <c r="AI513">
        <v>0</v>
      </c>
      <c r="AJ513">
        <v>0</v>
      </c>
      <c r="AK513">
        <v>0</v>
      </c>
      <c r="AL513">
        <v>0</v>
      </c>
      <c r="AM513">
        <v>0</v>
      </c>
      <c r="AN513">
        <v>0</v>
      </c>
      <c r="AO513">
        <v>0</v>
      </c>
      <c r="AP513">
        <v>1</v>
      </c>
    </row>
    <row r="514" spans="4:42" x14ac:dyDescent="0.45">
      <c r="D514">
        <v>2025</v>
      </c>
      <c r="E514">
        <v>6</v>
      </c>
      <c r="F514">
        <v>9180000</v>
      </c>
      <c r="G514">
        <v>718897.7</v>
      </c>
      <c r="H514">
        <v>491477.99</v>
      </c>
      <c r="I514">
        <v>215567.11</v>
      </c>
      <c r="J514">
        <v>21832.36</v>
      </c>
      <c r="K514">
        <v>66</v>
      </c>
      <c r="L514">
        <v>9</v>
      </c>
      <c r="M514">
        <v>49</v>
      </c>
      <c r="N514">
        <v>3</v>
      </c>
      <c r="O514">
        <v>17</v>
      </c>
      <c r="P514">
        <v>54243.67</v>
      </c>
      <c r="Q514">
        <v>109.69</v>
      </c>
      <c r="R514">
        <v>116.54</v>
      </c>
      <c r="S514">
        <v>0</v>
      </c>
      <c r="T514">
        <v>0</v>
      </c>
      <c r="U514">
        <v>0</v>
      </c>
      <c r="V514">
        <v>0</v>
      </c>
      <c r="W514">
        <v>0</v>
      </c>
      <c r="X514">
        <v>0</v>
      </c>
      <c r="Y514">
        <v>0</v>
      </c>
      <c r="Z514">
        <v>1</v>
      </c>
      <c r="AA514">
        <v>0</v>
      </c>
      <c r="AB514">
        <v>0</v>
      </c>
      <c r="AC514">
        <v>0</v>
      </c>
      <c r="AD514">
        <v>0</v>
      </c>
      <c r="AE514">
        <v>0</v>
      </c>
      <c r="AF514">
        <v>0</v>
      </c>
      <c r="AG514">
        <v>0</v>
      </c>
      <c r="AH514">
        <v>0</v>
      </c>
      <c r="AI514">
        <v>0</v>
      </c>
      <c r="AJ514">
        <v>1</v>
      </c>
      <c r="AK514">
        <v>0</v>
      </c>
      <c r="AL514">
        <v>0</v>
      </c>
      <c r="AM514">
        <v>0</v>
      </c>
      <c r="AN514">
        <v>0</v>
      </c>
      <c r="AO514">
        <v>0</v>
      </c>
      <c r="AP514">
        <v>0</v>
      </c>
    </row>
    <row r="515" spans="4:42" x14ac:dyDescent="0.45">
      <c r="D515">
        <v>2025</v>
      </c>
      <c r="E515">
        <v>6</v>
      </c>
      <c r="F515">
        <v>25246000</v>
      </c>
      <c r="G515">
        <v>2277084.37</v>
      </c>
      <c r="H515">
        <v>1781517.94</v>
      </c>
      <c r="I515">
        <v>412374.74</v>
      </c>
      <c r="J515">
        <v>19773.259999999998</v>
      </c>
      <c r="K515">
        <v>187</v>
      </c>
      <c r="L515">
        <v>15</v>
      </c>
      <c r="M515">
        <v>718</v>
      </c>
      <c r="N515">
        <v>8</v>
      </c>
      <c r="O515">
        <v>30</v>
      </c>
      <c r="P515">
        <v>454288.55</v>
      </c>
      <c r="Q515">
        <v>111.37</v>
      </c>
      <c r="R515">
        <v>115.77</v>
      </c>
      <c r="S515">
        <v>0</v>
      </c>
      <c r="T515">
        <v>0</v>
      </c>
      <c r="U515">
        <v>0</v>
      </c>
      <c r="V515">
        <v>0</v>
      </c>
      <c r="W515">
        <v>0</v>
      </c>
      <c r="X515">
        <v>0</v>
      </c>
      <c r="Y515">
        <v>0</v>
      </c>
      <c r="Z515">
        <v>1</v>
      </c>
      <c r="AA515">
        <v>0</v>
      </c>
      <c r="AB515">
        <v>0</v>
      </c>
      <c r="AC515">
        <v>0</v>
      </c>
      <c r="AD515">
        <v>0</v>
      </c>
      <c r="AE515">
        <v>0</v>
      </c>
      <c r="AF515">
        <v>1</v>
      </c>
      <c r="AG515">
        <v>0</v>
      </c>
      <c r="AH515">
        <v>0</v>
      </c>
      <c r="AI515">
        <v>0</v>
      </c>
      <c r="AJ515">
        <v>0</v>
      </c>
      <c r="AK515">
        <v>0</v>
      </c>
      <c r="AL515">
        <v>0</v>
      </c>
      <c r="AM515">
        <v>0</v>
      </c>
      <c r="AN515">
        <v>0</v>
      </c>
      <c r="AO515">
        <v>0</v>
      </c>
      <c r="AP515">
        <v>0</v>
      </c>
    </row>
    <row r="516" spans="4:42" x14ac:dyDescent="0.45">
      <c r="D516">
        <v>2025</v>
      </c>
      <c r="E516">
        <v>6</v>
      </c>
      <c r="F516">
        <v>7115000</v>
      </c>
      <c r="G516">
        <v>540722.42000000004</v>
      </c>
      <c r="H516">
        <v>298879.65000000002</v>
      </c>
      <c r="I516">
        <v>227130.34</v>
      </c>
      <c r="J516">
        <v>18579.27</v>
      </c>
      <c r="K516">
        <v>30</v>
      </c>
      <c r="L516">
        <v>1</v>
      </c>
      <c r="M516">
        <v>13</v>
      </c>
      <c r="N516">
        <v>4</v>
      </c>
      <c r="O516">
        <v>14</v>
      </c>
      <c r="P516">
        <v>56048.39</v>
      </c>
      <c r="Q516">
        <v>112.59</v>
      </c>
      <c r="R516">
        <v>115.56</v>
      </c>
      <c r="S516">
        <v>0</v>
      </c>
      <c r="T516">
        <v>0</v>
      </c>
      <c r="U516">
        <v>0</v>
      </c>
      <c r="V516">
        <v>0</v>
      </c>
      <c r="W516">
        <v>0</v>
      </c>
      <c r="X516">
        <v>0</v>
      </c>
      <c r="Y516">
        <v>0</v>
      </c>
      <c r="Z516">
        <v>1</v>
      </c>
      <c r="AA516">
        <v>0</v>
      </c>
      <c r="AB516">
        <v>0</v>
      </c>
      <c r="AC516">
        <v>0</v>
      </c>
      <c r="AD516">
        <v>0</v>
      </c>
      <c r="AE516">
        <v>0</v>
      </c>
      <c r="AF516">
        <v>0</v>
      </c>
      <c r="AG516">
        <v>0</v>
      </c>
      <c r="AH516">
        <v>1</v>
      </c>
      <c r="AI516">
        <v>0</v>
      </c>
      <c r="AJ516">
        <v>0</v>
      </c>
      <c r="AK516">
        <v>0</v>
      </c>
      <c r="AL516">
        <v>0</v>
      </c>
      <c r="AM516">
        <v>0</v>
      </c>
      <c r="AN516">
        <v>0</v>
      </c>
      <c r="AO516">
        <v>0</v>
      </c>
      <c r="AP516">
        <v>0</v>
      </c>
    </row>
    <row r="517" spans="4:42" x14ac:dyDescent="0.45">
      <c r="D517">
        <v>2025</v>
      </c>
      <c r="E517">
        <v>6</v>
      </c>
      <c r="F517">
        <v>4016000</v>
      </c>
      <c r="G517">
        <v>359136.3</v>
      </c>
      <c r="H517">
        <v>308018.93</v>
      </c>
      <c r="I517">
        <v>43857.72</v>
      </c>
      <c r="J517">
        <v>3146.05</v>
      </c>
      <c r="K517">
        <v>28</v>
      </c>
      <c r="L517">
        <v>2</v>
      </c>
      <c r="M517">
        <v>41</v>
      </c>
      <c r="N517">
        <v>0</v>
      </c>
      <c r="O517">
        <v>9</v>
      </c>
      <c r="P517">
        <v>6420.1</v>
      </c>
      <c r="Q517">
        <v>114.58</v>
      </c>
      <c r="R517">
        <v>116.48</v>
      </c>
      <c r="S517">
        <v>0</v>
      </c>
      <c r="T517">
        <v>0</v>
      </c>
      <c r="U517">
        <v>0</v>
      </c>
      <c r="V517">
        <v>0</v>
      </c>
      <c r="W517">
        <v>0</v>
      </c>
      <c r="X517">
        <v>0</v>
      </c>
      <c r="Y517">
        <v>0</v>
      </c>
      <c r="Z517">
        <v>1</v>
      </c>
      <c r="AA517">
        <v>0</v>
      </c>
      <c r="AB517">
        <v>0</v>
      </c>
      <c r="AC517">
        <v>0</v>
      </c>
      <c r="AD517">
        <v>0</v>
      </c>
      <c r="AE517">
        <v>0</v>
      </c>
      <c r="AF517">
        <v>0</v>
      </c>
      <c r="AG517">
        <v>0</v>
      </c>
      <c r="AH517">
        <v>0</v>
      </c>
      <c r="AI517">
        <v>0</v>
      </c>
      <c r="AJ517">
        <v>0</v>
      </c>
      <c r="AK517">
        <v>0</v>
      </c>
      <c r="AL517">
        <v>0</v>
      </c>
      <c r="AM517">
        <v>0</v>
      </c>
      <c r="AN517">
        <v>0</v>
      </c>
      <c r="AO517">
        <v>0</v>
      </c>
      <c r="AP517">
        <v>0</v>
      </c>
    </row>
    <row r="518" spans="4:42" x14ac:dyDescent="0.45">
      <c r="D518">
        <v>2025</v>
      </c>
      <c r="E518">
        <v>6</v>
      </c>
      <c r="F518">
        <v>15492000</v>
      </c>
      <c r="G518">
        <v>1288343.6499999999</v>
      </c>
      <c r="H518">
        <v>632718.23</v>
      </c>
      <c r="I518">
        <v>548498.13</v>
      </c>
      <c r="J518">
        <v>52212.28</v>
      </c>
      <c r="K518">
        <v>81</v>
      </c>
      <c r="L518">
        <v>8</v>
      </c>
      <c r="M518">
        <v>171</v>
      </c>
      <c r="N518">
        <v>2</v>
      </c>
      <c r="O518">
        <v>18</v>
      </c>
      <c r="P518">
        <v>125028.94</v>
      </c>
      <c r="Q518">
        <v>110.58</v>
      </c>
      <c r="R518">
        <v>115.9</v>
      </c>
      <c r="S518">
        <v>0</v>
      </c>
      <c r="T518">
        <v>0</v>
      </c>
      <c r="U518">
        <v>0</v>
      </c>
      <c r="V518">
        <v>0</v>
      </c>
      <c r="W518">
        <v>0</v>
      </c>
      <c r="X518">
        <v>0</v>
      </c>
      <c r="Y518">
        <v>0</v>
      </c>
      <c r="Z518">
        <v>1</v>
      </c>
      <c r="AA518">
        <v>0</v>
      </c>
      <c r="AB518">
        <v>0</v>
      </c>
      <c r="AC518">
        <v>0</v>
      </c>
      <c r="AD518">
        <v>0</v>
      </c>
      <c r="AE518">
        <v>0</v>
      </c>
      <c r="AF518">
        <v>0</v>
      </c>
      <c r="AG518">
        <v>0</v>
      </c>
      <c r="AH518">
        <v>0</v>
      </c>
      <c r="AI518">
        <v>0</v>
      </c>
      <c r="AJ518">
        <v>0</v>
      </c>
      <c r="AK518">
        <v>0</v>
      </c>
      <c r="AL518">
        <v>0</v>
      </c>
      <c r="AM518">
        <v>0</v>
      </c>
      <c r="AN518">
        <v>1</v>
      </c>
      <c r="AO518">
        <v>0</v>
      </c>
      <c r="AP518">
        <v>0</v>
      </c>
    </row>
    <row r="519" spans="4:42" x14ac:dyDescent="0.45">
      <c r="D519">
        <v>2025</v>
      </c>
      <c r="E519">
        <v>6</v>
      </c>
      <c r="F519">
        <v>5508000</v>
      </c>
      <c r="G519">
        <v>472276.91</v>
      </c>
      <c r="H519">
        <v>386354.14</v>
      </c>
      <c r="I519">
        <v>70736.08</v>
      </c>
      <c r="J519">
        <v>6756.96</v>
      </c>
      <c r="K519">
        <v>37</v>
      </c>
      <c r="L519">
        <v>4</v>
      </c>
      <c r="M519">
        <v>27</v>
      </c>
      <c r="N519">
        <v>3</v>
      </c>
      <c r="O519">
        <v>17</v>
      </c>
      <c r="P519">
        <v>48040.08</v>
      </c>
      <c r="Q519">
        <v>111.7</v>
      </c>
      <c r="R519">
        <v>116.2</v>
      </c>
      <c r="S519">
        <v>0</v>
      </c>
      <c r="T519">
        <v>0</v>
      </c>
      <c r="U519">
        <v>0</v>
      </c>
      <c r="V519">
        <v>0</v>
      </c>
      <c r="W519">
        <v>0</v>
      </c>
      <c r="X519">
        <v>0</v>
      </c>
      <c r="Y519">
        <v>0</v>
      </c>
      <c r="Z519">
        <v>1</v>
      </c>
      <c r="AA519">
        <v>0</v>
      </c>
      <c r="AB519">
        <v>0</v>
      </c>
      <c r="AC519">
        <v>0</v>
      </c>
      <c r="AD519">
        <v>1</v>
      </c>
      <c r="AE519">
        <v>0</v>
      </c>
      <c r="AF519">
        <v>0</v>
      </c>
      <c r="AG519">
        <v>0</v>
      </c>
      <c r="AH519">
        <v>0</v>
      </c>
      <c r="AI519">
        <v>0</v>
      </c>
      <c r="AJ519">
        <v>0</v>
      </c>
      <c r="AK519">
        <v>0</v>
      </c>
      <c r="AL519">
        <v>0</v>
      </c>
      <c r="AM519">
        <v>0</v>
      </c>
      <c r="AN519">
        <v>0</v>
      </c>
      <c r="AO519">
        <v>0</v>
      </c>
      <c r="AP519">
        <v>0</v>
      </c>
    </row>
    <row r="520" spans="4:42" x14ac:dyDescent="0.45">
      <c r="D520">
        <v>2025</v>
      </c>
      <c r="E520">
        <v>6</v>
      </c>
      <c r="F520">
        <v>8377000</v>
      </c>
      <c r="G520">
        <v>659521.61</v>
      </c>
      <c r="H520">
        <v>365971.34</v>
      </c>
      <c r="I520">
        <v>251752.77</v>
      </c>
      <c r="J520">
        <v>42311.18</v>
      </c>
      <c r="K520">
        <v>45</v>
      </c>
      <c r="L520">
        <v>2</v>
      </c>
      <c r="M520">
        <v>48</v>
      </c>
      <c r="N520">
        <v>4</v>
      </c>
      <c r="O520">
        <v>15</v>
      </c>
      <c r="P520">
        <v>72823.16</v>
      </c>
      <c r="Q520">
        <v>113.38</v>
      </c>
      <c r="R520">
        <v>115.88</v>
      </c>
      <c r="S520">
        <v>0</v>
      </c>
      <c r="T520">
        <v>0</v>
      </c>
      <c r="U520">
        <v>0</v>
      </c>
      <c r="V520">
        <v>0</v>
      </c>
      <c r="W520">
        <v>0</v>
      </c>
      <c r="X520">
        <v>0</v>
      </c>
      <c r="Y520">
        <v>0</v>
      </c>
      <c r="Z520">
        <v>1</v>
      </c>
      <c r="AA520">
        <v>0</v>
      </c>
      <c r="AB520">
        <v>0</v>
      </c>
      <c r="AC520">
        <v>0</v>
      </c>
      <c r="AD520">
        <v>0</v>
      </c>
      <c r="AE520">
        <v>0</v>
      </c>
      <c r="AF520">
        <v>0</v>
      </c>
      <c r="AG520">
        <v>1</v>
      </c>
      <c r="AH520">
        <v>0</v>
      </c>
      <c r="AI520">
        <v>0</v>
      </c>
      <c r="AJ520">
        <v>0</v>
      </c>
      <c r="AK520">
        <v>0</v>
      </c>
      <c r="AL520">
        <v>0</v>
      </c>
      <c r="AM520">
        <v>0</v>
      </c>
      <c r="AN520">
        <v>0</v>
      </c>
      <c r="AO520">
        <v>0</v>
      </c>
      <c r="AP520">
        <v>0</v>
      </c>
    </row>
    <row r="521" spans="4:42" x14ac:dyDescent="0.45">
      <c r="D521">
        <v>2025</v>
      </c>
      <c r="E521">
        <v>6</v>
      </c>
      <c r="F521">
        <v>4820000</v>
      </c>
      <c r="G521">
        <v>414678.17</v>
      </c>
      <c r="H521">
        <v>347971.61</v>
      </c>
      <c r="I521">
        <v>67281.08</v>
      </c>
      <c r="J521">
        <v>4361.8</v>
      </c>
      <c r="K521">
        <v>34</v>
      </c>
      <c r="L521">
        <v>1</v>
      </c>
      <c r="M521">
        <v>42</v>
      </c>
      <c r="N521">
        <v>4</v>
      </c>
      <c r="O521">
        <v>16</v>
      </c>
      <c r="P521">
        <v>54025.07</v>
      </c>
      <c r="Q521">
        <v>112.57</v>
      </c>
      <c r="R521">
        <v>115.84</v>
      </c>
      <c r="S521">
        <v>0</v>
      </c>
      <c r="T521">
        <v>0</v>
      </c>
      <c r="U521">
        <v>0</v>
      </c>
      <c r="V521">
        <v>0</v>
      </c>
      <c r="W521">
        <v>0</v>
      </c>
      <c r="X521">
        <v>0</v>
      </c>
      <c r="Y521">
        <v>0</v>
      </c>
      <c r="Z521">
        <v>1</v>
      </c>
      <c r="AA521">
        <v>0</v>
      </c>
      <c r="AB521">
        <v>0</v>
      </c>
      <c r="AC521">
        <v>0</v>
      </c>
      <c r="AD521">
        <v>0</v>
      </c>
      <c r="AE521">
        <v>0</v>
      </c>
      <c r="AF521">
        <v>0</v>
      </c>
      <c r="AG521">
        <v>0</v>
      </c>
      <c r="AH521">
        <v>0</v>
      </c>
      <c r="AI521">
        <v>0</v>
      </c>
      <c r="AJ521">
        <v>0</v>
      </c>
      <c r="AK521">
        <v>0</v>
      </c>
      <c r="AL521">
        <v>1</v>
      </c>
      <c r="AM521">
        <v>0</v>
      </c>
      <c r="AN521">
        <v>0</v>
      </c>
      <c r="AO521">
        <v>0</v>
      </c>
      <c r="AP521">
        <v>0</v>
      </c>
    </row>
    <row r="522" spans="4:42" x14ac:dyDescent="0.45">
      <c r="D522">
        <v>2025</v>
      </c>
      <c r="E522">
        <v>6</v>
      </c>
      <c r="F522">
        <v>28688000</v>
      </c>
      <c r="G522">
        <v>2668149.2599999998</v>
      </c>
      <c r="H522">
        <v>2024128.86</v>
      </c>
      <c r="I522">
        <v>529736.18000000005</v>
      </c>
      <c r="J522">
        <v>47275.53</v>
      </c>
      <c r="K522">
        <v>213</v>
      </c>
      <c r="L522">
        <v>14</v>
      </c>
      <c r="M522">
        <v>1021</v>
      </c>
      <c r="N522">
        <v>8</v>
      </c>
      <c r="O522">
        <v>30</v>
      </c>
      <c r="P522">
        <v>660715.27</v>
      </c>
      <c r="Q522">
        <v>110.3</v>
      </c>
      <c r="R522">
        <v>115.27</v>
      </c>
      <c r="S522">
        <v>0</v>
      </c>
      <c r="T522">
        <v>0</v>
      </c>
      <c r="U522">
        <v>0</v>
      </c>
      <c r="V522">
        <v>0</v>
      </c>
      <c r="W522">
        <v>0</v>
      </c>
      <c r="X522">
        <v>0</v>
      </c>
      <c r="Y522">
        <v>0</v>
      </c>
      <c r="Z522">
        <v>1</v>
      </c>
      <c r="AA522">
        <v>0</v>
      </c>
      <c r="AB522">
        <v>0</v>
      </c>
      <c r="AC522">
        <v>0</v>
      </c>
      <c r="AD522">
        <v>0</v>
      </c>
      <c r="AE522">
        <v>0</v>
      </c>
      <c r="AF522">
        <v>0</v>
      </c>
      <c r="AG522">
        <v>0</v>
      </c>
      <c r="AH522">
        <v>0</v>
      </c>
      <c r="AI522">
        <v>0</v>
      </c>
      <c r="AJ522">
        <v>0</v>
      </c>
      <c r="AK522">
        <v>0</v>
      </c>
      <c r="AL522">
        <v>0</v>
      </c>
      <c r="AM522">
        <v>1</v>
      </c>
      <c r="AN522">
        <v>0</v>
      </c>
      <c r="AO522">
        <v>0</v>
      </c>
      <c r="AP522">
        <v>0</v>
      </c>
    </row>
    <row r="523" spans="4:42" x14ac:dyDescent="0.45">
      <c r="D523">
        <v>2025</v>
      </c>
      <c r="E523">
        <v>7</v>
      </c>
      <c r="F523">
        <v>15492000</v>
      </c>
      <c r="G523">
        <v>1330800.42</v>
      </c>
      <c r="H523">
        <v>662661.73</v>
      </c>
      <c r="I523">
        <v>594890.31999999995</v>
      </c>
      <c r="J523">
        <v>50445.68</v>
      </c>
      <c r="K523">
        <v>84</v>
      </c>
      <c r="L523">
        <v>4</v>
      </c>
      <c r="M523">
        <v>46</v>
      </c>
      <c r="N523">
        <v>4</v>
      </c>
      <c r="O523">
        <v>21</v>
      </c>
      <c r="P523">
        <v>159476.5</v>
      </c>
      <c r="Q523">
        <v>113.09</v>
      </c>
      <c r="R523">
        <v>116.6</v>
      </c>
      <c r="S523">
        <v>1</v>
      </c>
      <c r="T523">
        <v>0</v>
      </c>
      <c r="U523">
        <v>0</v>
      </c>
      <c r="V523">
        <v>0</v>
      </c>
      <c r="W523">
        <v>0</v>
      </c>
      <c r="X523">
        <v>0</v>
      </c>
      <c r="Y523">
        <v>0</v>
      </c>
      <c r="Z523">
        <v>0</v>
      </c>
      <c r="AA523">
        <v>0</v>
      </c>
      <c r="AB523">
        <v>0</v>
      </c>
      <c r="AC523">
        <v>0</v>
      </c>
      <c r="AD523">
        <v>0</v>
      </c>
      <c r="AE523">
        <v>0</v>
      </c>
      <c r="AF523">
        <v>0</v>
      </c>
      <c r="AG523">
        <v>0</v>
      </c>
      <c r="AH523">
        <v>0</v>
      </c>
      <c r="AI523">
        <v>0</v>
      </c>
      <c r="AJ523">
        <v>0</v>
      </c>
      <c r="AK523">
        <v>0</v>
      </c>
      <c r="AL523">
        <v>0</v>
      </c>
      <c r="AM523">
        <v>0</v>
      </c>
      <c r="AN523">
        <v>1</v>
      </c>
      <c r="AO523">
        <v>0</v>
      </c>
      <c r="AP523">
        <v>0</v>
      </c>
    </row>
    <row r="524" spans="4:42" x14ac:dyDescent="0.45">
      <c r="D524">
        <v>2025</v>
      </c>
      <c r="E524">
        <v>7</v>
      </c>
      <c r="F524">
        <v>5508000</v>
      </c>
      <c r="G524">
        <v>486046.29</v>
      </c>
      <c r="H524">
        <v>406326.23</v>
      </c>
      <c r="I524">
        <v>67779.45</v>
      </c>
      <c r="J524">
        <v>11556.17</v>
      </c>
      <c r="K524">
        <v>38</v>
      </c>
      <c r="L524">
        <v>4</v>
      </c>
      <c r="M524">
        <v>24</v>
      </c>
      <c r="N524">
        <v>3</v>
      </c>
      <c r="O524">
        <v>11</v>
      </c>
      <c r="P524">
        <v>32522.01</v>
      </c>
      <c r="Q524">
        <v>108.96</v>
      </c>
      <c r="R524">
        <v>115.86</v>
      </c>
      <c r="S524">
        <v>1</v>
      </c>
      <c r="T524">
        <v>0</v>
      </c>
      <c r="U524">
        <v>0</v>
      </c>
      <c r="V524">
        <v>0</v>
      </c>
      <c r="W524">
        <v>0</v>
      </c>
      <c r="X524">
        <v>0</v>
      </c>
      <c r="Y524">
        <v>0</v>
      </c>
      <c r="Z524">
        <v>0</v>
      </c>
      <c r="AA524">
        <v>0</v>
      </c>
      <c r="AB524">
        <v>0</v>
      </c>
      <c r="AC524">
        <v>0</v>
      </c>
      <c r="AD524">
        <v>1</v>
      </c>
      <c r="AE524">
        <v>0</v>
      </c>
      <c r="AF524">
        <v>0</v>
      </c>
      <c r="AG524">
        <v>0</v>
      </c>
      <c r="AH524">
        <v>0</v>
      </c>
      <c r="AI524">
        <v>0</v>
      </c>
      <c r="AJ524">
        <v>0</v>
      </c>
      <c r="AK524">
        <v>0</v>
      </c>
      <c r="AL524">
        <v>0</v>
      </c>
      <c r="AM524">
        <v>0</v>
      </c>
      <c r="AN524">
        <v>0</v>
      </c>
      <c r="AO524">
        <v>0</v>
      </c>
      <c r="AP524">
        <v>0</v>
      </c>
    </row>
    <row r="525" spans="4:42" x14ac:dyDescent="0.45">
      <c r="D525">
        <v>2025</v>
      </c>
      <c r="E525">
        <v>7</v>
      </c>
      <c r="F525">
        <v>7115000</v>
      </c>
      <c r="G525">
        <v>640305.96</v>
      </c>
      <c r="H525">
        <v>323165.46000000002</v>
      </c>
      <c r="I525">
        <v>264490.81</v>
      </c>
      <c r="J525">
        <v>39724.550000000003</v>
      </c>
      <c r="K525">
        <v>31</v>
      </c>
      <c r="L525">
        <v>3</v>
      </c>
      <c r="M525">
        <v>53</v>
      </c>
      <c r="N525">
        <v>2</v>
      </c>
      <c r="O525">
        <v>15</v>
      </c>
      <c r="P525">
        <v>30716.38</v>
      </c>
      <c r="Q525">
        <v>117.47</v>
      </c>
      <c r="R525">
        <v>115.97</v>
      </c>
      <c r="S525">
        <v>1</v>
      </c>
      <c r="T525">
        <v>0</v>
      </c>
      <c r="U525">
        <v>0</v>
      </c>
      <c r="V525">
        <v>0</v>
      </c>
      <c r="W525">
        <v>0</v>
      </c>
      <c r="X525">
        <v>0</v>
      </c>
      <c r="Y525">
        <v>0</v>
      </c>
      <c r="Z525">
        <v>0</v>
      </c>
      <c r="AA525">
        <v>0</v>
      </c>
      <c r="AB525">
        <v>0</v>
      </c>
      <c r="AC525">
        <v>0</v>
      </c>
      <c r="AD525">
        <v>0</v>
      </c>
      <c r="AE525">
        <v>0</v>
      </c>
      <c r="AF525">
        <v>0</v>
      </c>
      <c r="AG525">
        <v>0</v>
      </c>
      <c r="AH525">
        <v>1</v>
      </c>
      <c r="AI525">
        <v>0</v>
      </c>
      <c r="AJ525">
        <v>0</v>
      </c>
      <c r="AK525">
        <v>0</v>
      </c>
      <c r="AL525">
        <v>0</v>
      </c>
      <c r="AM525">
        <v>0</v>
      </c>
      <c r="AN525">
        <v>0</v>
      </c>
      <c r="AO525">
        <v>0</v>
      </c>
      <c r="AP525">
        <v>0</v>
      </c>
    </row>
    <row r="526" spans="4:42" x14ac:dyDescent="0.45">
      <c r="D526">
        <v>2025</v>
      </c>
      <c r="E526">
        <v>7</v>
      </c>
      <c r="F526">
        <v>4016000</v>
      </c>
      <c r="G526">
        <v>371151.27</v>
      </c>
      <c r="H526">
        <v>304771.93</v>
      </c>
      <c r="I526">
        <v>50666.89</v>
      </c>
      <c r="J526">
        <v>19027.830000000002</v>
      </c>
      <c r="K526">
        <v>28</v>
      </c>
      <c r="L526">
        <v>4</v>
      </c>
      <c r="M526">
        <v>30</v>
      </c>
      <c r="N526">
        <v>3</v>
      </c>
      <c r="O526">
        <v>17</v>
      </c>
      <c r="P526">
        <v>40500.29</v>
      </c>
      <c r="Q526">
        <v>116.87</v>
      </c>
      <c r="R526">
        <v>116.25</v>
      </c>
      <c r="S526">
        <v>1</v>
      </c>
      <c r="T526">
        <v>0</v>
      </c>
      <c r="U526">
        <v>0</v>
      </c>
      <c r="V526">
        <v>0</v>
      </c>
      <c r="W526">
        <v>0</v>
      </c>
      <c r="X526">
        <v>0</v>
      </c>
      <c r="Y526">
        <v>0</v>
      </c>
      <c r="Z526">
        <v>0</v>
      </c>
      <c r="AA526">
        <v>0</v>
      </c>
      <c r="AB526">
        <v>0</v>
      </c>
      <c r="AC526">
        <v>0</v>
      </c>
      <c r="AD526">
        <v>0</v>
      </c>
      <c r="AE526">
        <v>0</v>
      </c>
      <c r="AF526">
        <v>0</v>
      </c>
      <c r="AG526">
        <v>0</v>
      </c>
      <c r="AH526">
        <v>0</v>
      </c>
      <c r="AI526">
        <v>0</v>
      </c>
      <c r="AJ526">
        <v>0</v>
      </c>
      <c r="AK526">
        <v>0</v>
      </c>
      <c r="AL526">
        <v>0</v>
      </c>
      <c r="AM526">
        <v>0</v>
      </c>
      <c r="AN526">
        <v>0</v>
      </c>
      <c r="AO526">
        <v>0</v>
      </c>
      <c r="AP526">
        <v>0</v>
      </c>
    </row>
    <row r="527" spans="4:42" x14ac:dyDescent="0.45">
      <c r="D527">
        <v>2025</v>
      </c>
      <c r="E527">
        <v>7</v>
      </c>
      <c r="F527">
        <v>21803000</v>
      </c>
      <c r="G527">
        <v>1910157</v>
      </c>
      <c r="H527">
        <v>841245.99</v>
      </c>
      <c r="I527">
        <v>876555.46</v>
      </c>
      <c r="J527">
        <v>143156.45000000001</v>
      </c>
      <c r="K527">
        <v>97</v>
      </c>
      <c r="L527">
        <v>10</v>
      </c>
      <c r="M527">
        <v>375</v>
      </c>
      <c r="N527">
        <v>6</v>
      </c>
      <c r="O527">
        <v>26</v>
      </c>
      <c r="P527">
        <v>373982.4</v>
      </c>
      <c r="Q527">
        <v>111.99</v>
      </c>
      <c r="R527">
        <v>116.61</v>
      </c>
      <c r="S527">
        <v>1</v>
      </c>
      <c r="T527">
        <v>0</v>
      </c>
      <c r="U527">
        <v>0</v>
      </c>
      <c r="V527">
        <v>0</v>
      </c>
      <c r="W527">
        <v>0</v>
      </c>
      <c r="X527">
        <v>0</v>
      </c>
      <c r="Y527">
        <v>0</v>
      </c>
      <c r="Z527">
        <v>0</v>
      </c>
      <c r="AA527">
        <v>0</v>
      </c>
      <c r="AB527">
        <v>0</v>
      </c>
      <c r="AC527">
        <v>0</v>
      </c>
      <c r="AD527">
        <v>0</v>
      </c>
      <c r="AE527">
        <v>0</v>
      </c>
      <c r="AF527">
        <v>0</v>
      </c>
      <c r="AG527">
        <v>0</v>
      </c>
      <c r="AH527">
        <v>0</v>
      </c>
      <c r="AI527">
        <v>0</v>
      </c>
      <c r="AJ527">
        <v>0</v>
      </c>
      <c r="AK527">
        <v>0</v>
      </c>
      <c r="AL527">
        <v>0</v>
      </c>
      <c r="AM527">
        <v>0</v>
      </c>
      <c r="AN527">
        <v>0</v>
      </c>
      <c r="AO527">
        <v>0</v>
      </c>
      <c r="AP527">
        <v>1</v>
      </c>
    </row>
    <row r="528" spans="4:42" x14ac:dyDescent="0.45">
      <c r="D528">
        <v>2025</v>
      </c>
      <c r="E528">
        <v>7</v>
      </c>
      <c r="F528">
        <v>4820000</v>
      </c>
      <c r="G528">
        <v>391745.81</v>
      </c>
      <c r="H528">
        <v>316893.98</v>
      </c>
      <c r="I528">
        <v>66589.350000000006</v>
      </c>
      <c r="J528">
        <v>6353.38</v>
      </c>
      <c r="K528">
        <v>32</v>
      </c>
      <c r="L528">
        <v>0</v>
      </c>
      <c r="M528">
        <v>34</v>
      </c>
      <c r="N528">
        <v>3</v>
      </c>
      <c r="O528">
        <v>15</v>
      </c>
      <c r="P528">
        <v>47765.05</v>
      </c>
      <c r="Q528">
        <v>111.2</v>
      </c>
      <c r="R528">
        <v>117</v>
      </c>
      <c r="S528">
        <v>1</v>
      </c>
      <c r="T528">
        <v>0</v>
      </c>
      <c r="U528">
        <v>0</v>
      </c>
      <c r="V528">
        <v>0</v>
      </c>
      <c r="W528">
        <v>0</v>
      </c>
      <c r="X528">
        <v>0</v>
      </c>
      <c r="Y528">
        <v>0</v>
      </c>
      <c r="Z528">
        <v>0</v>
      </c>
      <c r="AA528">
        <v>0</v>
      </c>
      <c r="AB528">
        <v>0</v>
      </c>
      <c r="AC528">
        <v>0</v>
      </c>
      <c r="AD528">
        <v>0</v>
      </c>
      <c r="AE528">
        <v>0</v>
      </c>
      <c r="AF528">
        <v>0</v>
      </c>
      <c r="AG528">
        <v>0</v>
      </c>
      <c r="AH528">
        <v>0</v>
      </c>
      <c r="AI528">
        <v>0</v>
      </c>
      <c r="AJ528">
        <v>0</v>
      </c>
      <c r="AK528">
        <v>0</v>
      </c>
      <c r="AL528">
        <v>1</v>
      </c>
      <c r="AM528">
        <v>0</v>
      </c>
      <c r="AN528">
        <v>0</v>
      </c>
      <c r="AO528">
        <v>0</v>
      </c>
      <c r="AP528">
        <v>0</v>
      </c>
    </row>
    <row r="529" spans="4:42" x14ac:dyDescent="0.45">
      <c r="D529">
        <v>2025</v>
      </c>
      <c r="E529">
        <v>7</v>
      </c>
      <c r="F529">
        <v>28688000</v>
      </c>
      <c r="G529">
        <v>2438578.06</v>
      </c>
      <c r="H529">
        <v>1939869.22</v>
      </c>
      <c r="I529">
        <v>601788.11</v>
      </c>
      <c r="J529">
        <v>32663.35</v>
      </c>
      <c r="K529">
        <v>208</v>
      </c>
      <c r="L529">
        <v>15</v>
      </c>
      <c r="M529">
        <v>953</v>
      </c>
      <c r="N529">
        <v>6</v>
      </c>
      <c r="O529">
        <v>34</v>
      </c>
      <c r="P529">
        <v>510976.63</v>
      </c>
      <c r="Q529">
        <v>109.99</v>
      </c>
      <c r="R529">
        <v>115.05</v>
      </c>
      <c r="S529">
        <v>1</v>
      </c>
      <c r="T529">
        <v>0</v>
      </c>
      <c r="U529">
        <v>0</v>
      </c>
      <c r="V529">
        <v>0</v>
      </c>
      <c r="W529">
        <v>0</v>
      </c>
      <c r="X529">
        <v>0</v>
      </c>
      <c r="Y529">
        <v>0</v>
      </c>
      <c r="Z529">
        <v>0</v>
      </c>
      <c r="AA529">
        <v>0</v>
      </c>
      <c r="AB529">
        <v>0</v>
      </c>
      <c r="AC529">
        <v>0</v>
      </c>
      <c r="AD529">
        <v>0</v>
      </c>
      <c r="AE529">
        <v>0</v>
      </c>
      <c r="AF529">
        <v>0</v>
      </c>
      <c r="AG529">
        <v>0</v>
      </c>
      <c r="AH529">
        <v>0</v>
      </c>
      <c r="AI529">
        <v>0</v>
      </c>
      <c r="AJ529">
        <v>0</v>
      </c>
      <c r="AK529">
        <v>0</v>
      </c>
      <c r="AL529">
        <v>0</v>
      </c>
      <c r="AM529">
        <v>1</v>
      </c>
      <c r="AN529">
        <v>0</v>
      </c>
      <c r="AO529">
        <v>0</v>
      </c>
      <c r="AP529">
        <v>0</v>
      </c>
    </row>
    <row r="530" spans="4:42" x14ac:dyDescent="0.45">
      <c r="D530">
        <v>2025</v>
      </c>
      <c r="E530">
        <v>7</v>
      </c>
      <c r="F530">
        <v>9180000</v>
      </c>
      <c r="G530">
        <v>739322.34</v>
      </c>
      <c r="H530">
        <v>509713.65</v>
      </c>
      <c r="I530">
        <v>235116.87</v>
      </c>
      <c r="J530">
        <v>11591.39</v>
      </c>
      <c r="K530">
        <v>67</v>
      </c>
      <c r="L530">
        <v>8</v>
      </c>
      <c r="M530">
        <v>44</v>
      </c>
      <c r="N530">
        <v>5</v>
      </c>
      <c r="O530">
        <v>19</v>
      </c>
      <c r="P530">
        <v>132533.22</v>
      </c>
      <c r="Q530">
        <v>115.83</v>
      </c>
      <c r="R530">
        <v>115.67</v>
      </c>
      <c r="S530">
        <v>1</v>
      </c>
      <c r="T530">
        <v>0</v>
      </c>
      <c r="U530">
        <v>0</v>
      </c>
      <c r="V530">
        <v>0</v>
      </c>
      <c r="W530">
        <v>0</v>
      </c>
      <c r="X530">
        <v>0</v>
      </c>
      <c r="Y530">
        <v>0</v>
      </c>
      <c r="Z530">
        <v>0</v>
      </c>
      <c r="AA530">
        <v>0</v>
      </c>
      <c r="AB530">
        <v>0</v>
      </c>
      <c r="AC530">
        <v>0</v>
      </c>
      <c r="AD530">
        <v>0</v>
      </c>
      <c r="AE530">
        <v>0</v>
      </c>
      <c r="AF530">
        <v>0</v>
      </c>
      <c r="AG530">
        <v>0</v>
      </c>
      <c r="AH530">
        <v>0</v>
      </c>
      <c r="AI530">
        <v>0</v>
      </c>
      <c r="AJ530">
        <v>1</v>
      </c>
      <c r="AK530">
        <v>0</v>
      </c>
      <c r="AL530">
        <v>0</v>
      </c>
      <c r="AM530">
        <v>0</v>
      </c>
      <c r="AN530">
        <v>0</v>
      </c>
      <c r="AO530">
        <v>0</v>
      </c>
      <c r="AP530">
        <v>0</v>
      </c>
    </row>
    <row r="531" spans="4:42" x14ac:dyDescent="0.45">
      <c r="D531">
        <v>2025</v>
      </c>
      <c r="E531">
        <v>7</v>
      </c>
      <c r="F531">
        <v>8377000</v>
      </c>
      <c r="G531">
        <v>718272.75</v>
      </c>
      <c r="H531">
        <v>352963.87</v>
      </c>
      <c r="I531">
        <v>313545.98</v>
      </c>
      <c r="J531">
        <v>28072.29</v>
      </c>
      <c r="K531">
        <v>44</v>
      </c>
      <c r="L531">
        <v>3</v>
      </c>
      <c r="M531">
        <v>6</v>
      </c>
      <c r="N531">
        <v>5</v>
      </c>
      <c r="O531">
        <v>23</v>
      </c>
      <c r="P531">
        <v>112671.88</v>
      </c>
      <c r="Q531">
        <v>112.01</v>
      </c>
      <c r="R531">
        <v>116.77</v>
      </c>
      <c r="S531">
        <v>1</v>
      </c>
      <c r="T531">
        <v>0</v>
      </c>
      <c r="U531">
        <v>0</v>
      </c>
      <c r="V531">
        <v>0</v>
      </c>
      <c r="W531">
        <v>0</v>
      </c>
      <c r="X531">
        <v>0</v>
      </c>
      <c r="Y531">
        <v>0</v>
      </c>
      <c r="Z531">
        <v>0</v>
      </c>
      <c r="AA531">
        <v>0</v>
      </c>
      <c r="AB531">
        <v>0</v>
      </c>
      <c r="AC531">
        <v>0</v>
      </c>
      <c r="AD531">
        <v>0</v>
      </c>
      <c r="AE531">
        <v>0</v>
      </c>
      <c r="AF531">
        <v>0</v>
      </c>
      <c r="AG531">
        <v>1</v>
      </c>
      <c r="AH531">
        <v>0</v>
      </c>
      <c r="AI531">
        <v>0</v>
      </c>
      <c r="AJ531">
        <v>0</v>
      </c>
      <c r="AK531">
        <v>0</v>
      </c>
      <c r="AL531">
        <v>0</v>
      </c>
      <c r="AM531">
        <v>0</v>
      </c>
      <c r="AN531">
        <v>0</v>
      </c>
      <c r="AO531">
        <v>0</v>
      </c>
      <c r="AP531">
        <v>0</v>
      </c>
    </row>
    <row r="532" spans="4:42" x14ac:dyDescent="0.45">
      <c r="D532">
        <v>2025</v>
      </c>
      <c r="E532">
        <v>7</v>
      </c>
      <c r="F532">
        <v>25246000</v>
      </c>
      <c r="G532">
        <v>2229628.98</v>
      </c>
      <c r="H532">
        <v>1752132.85</v>
      </c>
      <c r="I532">
        <v>326682.59000000003</v>
      </c>
      <c r="J532">
        <v>37618.36</v>
      </c>
      <c r="K532">
        <v>187</v>
      </c>
      <c r="L532">
        <v>12</v>
      </c>
      <c r="M532">
        <v>856</v>
      </c>
      <c r="N532">
        <v>6</v>
      </c>
      <c r="O532">
        <v>31</v>
      </c>
      <c r="P532">
        <v>386060.01</v>
      </c>
      <c r="Q532">
        <v>111.96</v>
      </c>
      <c r="R532">
        <v>116.76</v>
      </c>
      <c r="S532">
        <v>1</v>
      </c>
      <c r="T532">
        <v>0</v>
      </c>
      <c r="U532">
        <v>0</v>
      </c>
      <c r="V532">
        <v>0</v>
      </c>
      <c r="W532">
        <v>0</v>
      </c>
      <c r="X532">
        <v>0</v>
      </c>
      <c r="Y532">
        <v>0</v>
      </c>
      <c r="Z532">
        <v>0</v>
      </c>
      <c r="AA532">
        <v>0</v>
      </c>
      <c r="AB532">
        <v>0</v>
      </c>
      <c r="AC532">
        <v>0</v>
      </c>
      <c r="AD532">
        <v>0</v>
      </c>
      <c r="AE532">
        <v>0</v>
      </c>
      <c r="AF532">
        <v>1</v>
      </c>
      <c r="AG532">
        <v>0</v>
      </c>
      <c r="AH532">
        <v>0</v>
      </c>
      <c r="AI532">
        <v>0</v>
      </c>
      <c r="AJ532">
        <v>0</v>
      </c>
      <c r="AK532">
        <v>0</v>
      </c>
      <c r="AL532">
        <v>0</v>
      </c>
      <c r="AM532">
        <v>0</v>
      </c>
      <c r="AN532">
        <v>0</v>
      </c>
      <c r="AO532">
        <v>0</v>
      </c>
      <c r="AP532">
        <v>0</v>
      </c>
    </row>
    <row r="533" spans="4:42" x14ac:dyDescent="0.45">
      <c r="D533">
        <v>2025</v>
      </c>
      <c r="E533">
        <v>8</v>
      </c>
      <c r="F533">
        <v>7115000</v>
      </c>
      <c r="G533">
        <v>572920.23</v>
      </c>
      <c r="H533">
        <v>329799.55</v>
      </c>
      <c r="I533">
        <v>237110.73</v>
      </c>
      <c r="J533">
        <v>16160.5</v>
      </c>
      <c r="K533">
        <v>33</v>
      </c>
      <c r="L533">
        <v>3</v>
      </c>
      <c r="M533">
        <v>52</v>
      </c>
      <c r="N533">
        <v>1</v>
      </c>
      <c r="O533">
        <v>10</v>
      </c>
      <c r="P533">
        <v>25908.57</v>
      </c>
      <c r="Q533">
        <v>115.34</v>
      </c>
      <c r="R533">
        <v>116.1</v>
      </c>
      <c r="S533">
        <v>0</v>
      </c>
      <c r="T533">
        <v>0</v>
      </c>
      <c r="U533">
        <v>0</v>
      </c>
      <c r="V533">
        <v>0</v>
      </c>
      <c r="W533">
        <v>0</v>
      </c>
      <c r="X533">
        <v>0</v>
      </c>
      <c r="Y533">
        <v>0</v>
      </c>
      <c r="Z533">
        <v>0</v>
      </c>
      <c r="AA533">
        <v>1</v>
      </c>
      <c r="AB533">
        <v>0</v>
      </c>
      <c r="AC533">
        <v>0</v>
      </c>
      <c r="AD533">
        <v>0</v>
      </c>
      <c r="AE533">
        <v>0</v>
      </c>
      <c r="AF533">
        <v>0</v>
      </c>
      <c r="AG533">
        <v>0</v>
      </c>
      <c r="AH533">
        <v>1</v>
      </c>
      <c r="AI533">
        <v>0</v>
      </c>
      <c r="AJ533">
        <v>0</v>
      </c>
      <c r="AK533">
        <v>0</v>
      </c>
      <c r="AL533">
        <v>0</v>
      </c>
      <c r="AM533">
        <v>0</v>
      </c>
      <c r="AN533">
        <v>0</v>
      </c>
      <c r="AO533">
        <v>0</v>
      </c>
      <c r="AP533">
        <v>0</v>
      </c>
    </row>
    <row r="534" spans="4:42" x14ac:dyDescent="0.45">
      <c r="D534">
        <v>2025</v>
      </c>
      <c r="E534">
        <v>8</v>
      </c>
      <c r="F534">
        <v>5508000</v>
      </c>
      <c r="G534">
        <v>468055.41</v>
      </c>
      <c r="H534">
        <v>383960.54</v>
      </c>
      <c r="I534">
        <v>69084.86</v>
      </c>
      <c r="J534">
        <v>6138.22</v>
      </c>
      <c r="K534">
        <v>37</v>
      </c>
      <c r="L534">
        <v>4</v>
      </c>
      <c r="M534">
        <v>50</v>
      </c>
      <c r="N534">
        <v>1</v>
      </c>
      <c r="O534">
        <v>12</v>
      </c>
      <c r="P534">
        <v>14218.04</v>
      </c>
      <c r="Q534">
        <v>114.73</v>
      </c>
      <c r="R534">
        <v>116.34</v>
      </c>
      <c r="S534">
        <v>0</v>
      </c>
      <c r="T534">
        <v>0</v>
      </c>
      <c r="U534">
        <v>0</v>
      </c>
      <c r="V534">
        <v>0</v>
      </c>
      <c r="W534">
        <v>0</v>
      </c>
      <c r="X534">
        <v>0</v>
      </c>
      <c r="Y534">
        <v>0</v>
      </c>
      <c r="Z534">
        <v>0</v>
      </c>
      <c r="AA534">
        <v>1</v>
      </c>
      <c r="AB534">
        <v>0</v>
      </c>
      <c r="AC534">
        <v>0</v>
      </c>
      <c r="AD534">
        <v>1</v>
      </c>
      <c r="AE534">
        <v>0</v>
      </c>
      <c r="AF534">
        <v>0</v>
      </c>
      <c r="AG534">
        <v>0</v>
      </c>
      <c r="AH534">
        <v>0</v>
      </c>
      <c r="AI534">
        <v>0</v>
      </c>
      <c r="AJ534">
        <v>0</v>
      </c>
      <c r="AK534">
        <v>0</v>
      </c>
      <c r="AL534">
        <v>0</v>
      </c>
      <c r="AM534">
        <v>0</v>
      </c>
      <c r="AN534">
        <v>0</v>
      </c>
      <c r="AO534">
        <v>0</v>
      </c>
      <c r="AP534">
        <v>0</v>
      </c>
    </row>
    <row r="535" spans="4:42" x14ac:dyDescent="0.45">
      <c r="D535">
        <v>2025</v>
      </c>
      <c r="E535">
        <v>8</v>
      </c>
      <c r="F535">
        <v>28688000</v>
      </c>
      <c r="G535">
        <v>2572227.13</v>
      </c>
      <c r="H535">
        <v>1891654.44</v>
      </c>
      <c r="I535">
        <v>568602.71</v>
      </c>
      <c r="J535">
        <v>94394.05</v>
      </c>
      <c r="K535">
        <v>211</v>
      </c>
      <c r="L535">
        <v>15</v>
      </c>
      <c r="M535">
        <v>1009</v>
      </c>
      <c r="N535">
        <v>8</v>
      </c>
      <c r="O535">
        <v>42</v>
      </c>
      <c r="P535">
        <v>536475.9</v>
      </c>
      <c r="Q535">
        <v>115.41</v>
      </c>
      <c r="R535">
        <v>116.38</v>
      </c>
      <c r="S535">
        <v>0</v>
      </c>
      <c r="T535">
        <v>0</v>
      </c>
      <c r="U535">
        <v>0</v>
      </c>
      <c r="V535">
        <v>0</v>
      </c>
      <c r="W535">
        <v>0</v>
      </c>
      <c r="X535">
        <v>0</v>
      </c>
      <c r="Y535">
        <v>0</v>
      </c>
      <c r="Z535">
        <v>0</v>
      </c>
      <c r="AA535">
        <v>1</v>
      </c>
      <c r="AB535">
        <v>0</v>
      </c>
      <c r="AC535">
        <v>0</v>
      </c>
      <c r="AD535">
        <v>0</v>
      </c>
      <c r="AE535">
        <v>0</v>
      </c>
      <c r="AF535">
        <v>0</v>
      </c>
      <c r="AG535">
        <v>0</v>
      </c>
      <c r="AH535">
        <v>0</v>
      </c>
      <c r="AI535">
        <v>0</v>
      </c>
      <c r="AJ535">
        <v>0</v>
      </c>
      <c r="AK535">
        <v>0</v>
      </c>
      <c r="AL535">
        <v>0</v>
      </c>
      <c r="AM535">
        <v>1</v>
      </c>
      <c r="AN535">
        <v>0</v>
      </c>
      <c r="AO535">
        <v>0</v>
      </c>
      <c r="AP535">
        <v>0</v>
      </c>
    </row>
    <row r="536" spans="4:42" x14ac:dyDescent="0.45">
      <c r="D536">
        <v>2025</v>
      </c>
      <c r="E536">
        <v>8</v>
      </c>
      <c r="F536">
        <v>21803000</v>
      </c>
      <c r="G536">
        <v>1973538.07</v>
      </c>
      <c r="H536">
        <v>895389.03</v>
      </c>
      <c r="I536">
        <v>820019.57</v>
      </c>
      <c r="J536">
        <v>148365.56</v>
      </c>
      <c r="K536">
        <v>101</v>
      </c>
      <c r="L536">
        <v>10</v>
      </c>
      <c r="M536">
        <v>457</v>
      </c>
      <c r="N536">
        <v>6</v>
      </c>
      <c r="O536">
        <v>31</v>
      </c>
      <c r="P536">
        <v>357466.09</v>
      </c>
      <c r="Q536">
        <v>113.58</v>
      </c>
      <c r="R536">
        <v>116.2</v>
      </c>
      <c r="S536">
        <v>0</v>
      </c>
      <c r="T536">
        <v>0</v>
      </c>
      <c r="U536">
        <v>0</v>
      </c>
      <c r="V536">
        <v>0</v>
      </c>
      <c r="W536">
        <v>0</v>
      </c>
      <c r="X536">
        <v>0</v>
      </c>
      <c r="Y536">
        <v>0</v>
      </c>
      <c r="Z536">
        <v>0</v>
      </c>
      <c r="AA536">
        <v>1</v>
      </c>
      <c r="AB536">
        <v>0</v>
      </c>
      <c r="AC536">
        <v>0</v>
      </c>
      <c r="AD536">
        <v>0</v>
      </c>
      <c r="AE536">
        <v>0</v>
      </c>
      <c r="AF536">
        <v>0</v>
      </c>
      <c r="AG536">
        <v>0</v>
      </c>
      <c r="AH536">
        <v>0</v>
      </c>
      <c r="AI536">
        <v>0</v>
      </c>
      <c r="AJ536">
        <v>0</v>
      </c>
      <c r="AK536">
        <v>0</v>
      </c>
      <c r="AL536">
        <v>0</v>
      </c>
      <c r="AM536">
        <v>0</v>
      </c>
      <c r="AN536">
        <v>0</v>
      </c>
      <c r="AO536">
        <v>0</v>
      </c>
      <c r="AP536">
        <v>1</v>
      </c>
    </row>
    <row r="537" spans="4:42" x14ac:dyDescent="0.45">
      <c r="D537">
        <v>2025</v>
      </c>
      <c r="E537">
        <v>8</v>
      </c>
      <c r="F537">
        <v>15492000</v>
      </c>
      <c r="G537">
        <v>1134734.7</v>
      </c>
      <c r="H537">
        <v>632478.69999999995</v>
      </c>
      <c r="I537">
        <v>507723.37</v>
      </c>
      <c r="J537">
        <v>81582.720000000001</v>
      </c>
      <c r="K537">
        <v>81</v>
      </c>
      <c r="L537">
        <v>7</v>
      </c>
      <c r="M537">
        <v>104</v>
      </c>
      <c r="N537">
        <v>3</v>
      </c>
      <c r="O537">
        <v>17</v>
      </c>
      <c r="P537">
        <v>149404.09</v>
      </c>
      <c r="Q537">
        <v>115</v>
      </c>
      <c r="R537">
        <v>116.78</v>
      </c>
      <c r="S537">
        <v>0</v>
      </c>
      <c r="T537">
        <v>0</v>
      </c>
      <c r="U537">
        <v>0</v>
      </c>
      <c r="V537">
        <v>0</v>
      </c>
      <c r="W537">
        <v>0</v>
      </c>
      <c r="X537">
        <v>0</v>
      </c>
      <c r="Y537">
        <v>0</v>
      </c>
      <c r="Z537">
        <v>0</v>
      </c>
      <c r="AA537">
        <v>1</v>
      </c>
      <c r="AB537">
        <v>0</v>
      </c>
      <c r="AC537">
        <v>0</v>
      </c>
      <c r="AD537">
        <v>0</v>
      </c>
      <c r="AE537">
        <v>0</v>
      </c>
      <c r="AF537">
        <v>0</v>
      </c>
      <c r="AG537">
        <v>0</v>
      </c>
      <c r="AH537">
        <v>0</v>
      </c>
      <c r="AI537">
        <v>0</v>
      </c>
      <c r="AJ537">
        <v>0</v>
      </c>
      <c r="AK537">
        <v>0</v>
      </c>
      <c r="AL537">
        <v>0</v>
      </c>
      <c r="AM537">
        <v>0</v>
      </c>
      <c r="AN537">
        <v>1</v>
      </c>
      <c r="AO537">
        <v>0</v>
      </c>
      <c r="AP537">
        <v>0</v>
      </c>
    </row>
    <row r="538" spans="4:42" x14ac:dyDescent="0.45">
      <c r="D538">
        <v>2025</v>
      </c>
      <c r="E538">
        <v>8</v>
      </c>
      <c r="F538">
        <v>8377000</v>
      </c>
      <c r="G538">
        <v>681791.99</v>
      </c>
      <c r="H538">
        <v>350159.51</v>
      </c>
      <c r="I538">
        <v>307156.73</v>
      </c>
      <c r="J538">
        <v>14307.44</v>
      </c>
      <c r="K538">
        <v>43</v>
      </c>
      <c r="L538">
        <v>0</v>
      </c>
      <c r="M538">
        <v>36</v>
      </c>
      <c r="N538">
        <v>2</v>
      </c>
      <c r="O538">
        <v>11</v>
      </c>
      <c r="P538">
        <v>51698.91</v>
      </c>
      <c r="Q538">
        <v>111.14</v>
      </c>
      <c r="R538">
        <v>117</v>
      </c>
      <c r="S538">
        <v>0</v>
      </c>
      <c r="T538">
        <v>0</v>
      </c>
      <c r="U538">
        <v>0</v>
      </c>
      <c r="V538">
        <v>0</v>
      </c>
      <c r="W538">
        <v>0</v>
      </c>
      <c r="X538">
        <v>0</v>
      </c>
      <c r="Y538">
        <v>0</v>
      </c>
      <c r="Z538">
        <v>0</v>
      </c>
      <c r="AA538">
        <v>1</v>
      </c>
      <c r="AB538">
        <v>0</v>
      </c>
      <c r="AC538">
        <v>0</v>
      </c>
      <c r="AD538">
        <v>0</v>
      </c>
      <c r="AE538">
        <v>0</v>
      </c>
      <c r="AF538">
        <v>0</v>
      </c>
      <c r="AG538">
        <v>1</v>
      </c>
      <c r="AH538">
        <v>0</v>
      </c>
      <c r="AI538">
        <v>0</v>
      </c>
      <c r="AJ538">
        <v>0</v>
      </c>
      <c r="AK538">
        <v>0</v>
      </c>
      <c r="AL538">
        <v>0</v>
      </c>
      <c r="AM538">
        <v>0</v>
      </c>
      <c r="AN538">
        <v>0</v>
      </c>
      <c r="AO538">
        <v>0</v>
      </c>
      <c r="AP538">
        <v>0</v>
      </c>
    </row>
    <row r="539" spans="4:42" x14ac:dyDescent="0.45">
      <c r="D539">
        <v>2025</v>
      </c>
      <c r="E539">
        <v>8</v>
      </c>
      <c r="F539">
        <v>4820000</v>
      </c>
      <c r="G539">
        <v>403761.09</v>
      </c>
      <c r="H539">
        <v>327567.95</v>
      </c>
      <c r="I539">
        <v>68108.66</v>
      </c>
      <c r="J539">
        <v>2972.73</v>
      </c>
      <c r="K539">
        <v>34</v>
      </c>
      <c r="L539">
        <v>3</v>
      </c>
      <c r="M539">
        <v>43</v>
      </c>
      <c r="N539">
        <v>0</v>
      </c>
      <c r="O539">
        <v>10</v>
      </c>
      <c r="P539">
        <v>6111.54</v>
      </c>
      <c r="Q539">
        <v>114.11</v>
      </c>
      <c r="R539">
        <v>116.22</v>
      </c>
      <c r="S539">
        <v>0</v>
      </c>
      <c r="T539">
        <v>0</v>
      </c>
      <c r="U539">
        <v>0</v>
      </c>
      <c r="V539">
        <v>0</v>
      </c>
      <c r="W539">
        <v>0</v>
      </c>
      <c r="X539">
        <v>0</v>
      </c>
      <c r="Y539">
        <v>0</v>
      </c>
      <c r="Z539">
        <v>0</v>
      </c>
      <c r="AA539">
        <v>1</v>
      </c>
      <c r="AB539">
        <v>0</v>
      </c>
      <c r="AC539">
        <v>0</v>
      </c>
      <c r="AD539">
        <v>0</v>
      </c>
      <c r="AE539">
        <v>0</v>
      </c>
      <c r="AF539">
        <v>0</v>
      </c>
      <c r="AG539">
        <v>0</v>
      </c>
      <c r="AH539">
        <v>0</v>
      </c>
      <c r="AI539">
        <v>0</v>
      </c>
      <c r="AJ539">
        <v>0</v>
      </c>
      <c r="AK539">
        <v>0</v>
      </c>
      <c r="AL539">
        <v>1</v>
      </c>
      <c r="AM539">
        <v>0</v>
      </c>
      <c r="AN539">
        <v>0</v>
      </c>
      <c r="AO539">
        <v>0</v>
      </c>
      <c r="AP539">
        <v>0</v>
      </c>
    </row>
    <row r="540" spans="4:42" x14ac:dyDescent="0.45">
      <c r="D540">
        <v>2025</v>
      </c>
      <c r="E540">
        <v>8</v>
      </c>
      <c r="F540">
        <v>9180000</v>
      </c>
      <c r="G540">
        <v>852031.49</v>
      </c>
      <c r="H540">
        <v>509665.25</v>
      </c>
      <c r="I540">
        <v>322182.65999999997</v>
      </c>
      <c r="J540">
        <v>17729.349999999999</v>
      </c>
      <c r="K540">
        <v>68</v>
      </c>
      <c r="L540">
        <v>4</v>
      </c>
      <c r="M540">
        <v>36</v>
      </c>
      <c r="N540">
        <v>2</v>
      </c>
      <c r="O540">
        <v>13</v>
      </c>
      <c r="P540">
        <v>56781.54</v>
      </c>
      <c r="Q540">
        <v>117.74</v>
      </c>
      <c r="R540">
        <v>116.58</v>
      </c>
      <c r="S540">
        <v>0</v>
      </c>
      <c r="T540">
        <v>0</v>
      </c>
      <c r="U540">
        <v>0</v>
      </c>
      <c r="V540">
        <v>0</v>
      </c>
      <c r="W540">
        <v>0</v>
      </c>
      <c r="X540">
        <v>0</v>
      </c>
      <c r="Y540">
        <v>0</v>
      </c>
      <c r="Z540">
        <v>0</v>
      </c>
      <c r="AA540">
        <v>1</v>
      </c>
      <c r="AB540">
        <v>0</v>
      </c>
      <c r="AC540">
        <v>0</v>
      </c>
      <c r="AD540">
        <v>0</v>
      </c>
      <c r="AE540">
        <v>0</v>
      </c>
      <c r="AF540">
        <v>0</v>
      </c>
      <c r="AG540">
        <v>0</v>
      </c>
      <c r="AH540">
        <v>0</v>
      </c>
      <c r="AI540">
        <v>0</v>
      </c>
      <c r="AJ540">
        <v>1</v>
      </c>
      <c r="AK540">
        <v>0</v>
      </c>
      <c r="AL540">
        <v>0</v>
      </c>
      <c r="AM540">
        <v>0</v>
      </c>
      <c r="AN540">
        <v>0</v>
      </c>
      <c r="AO540">
        <v>0</v>
      </c>
      <c r="AP540">
        <v>0</v>
      </c>
    </row>
    <row r="541" spans="4:42" x14ac:dyDescent="0.45">
      <c r="D541">
        <v>2025</v>
      </c>
      <c r="E541">
        <v>8</v>
      </c>
      <c r="F541">
        <v>4016000</v>
      </c>
      <c r="G541">
        <v>332507.46000000002</v>
      </c>
      <c r="H541">
        <v>289061.49</v>
      </c>
      <c r="I541">
        <v>47130.12</v>
      </c>
      <c r="J541">
        <v>4919.1000000000004</v>
      </c>
      <c r="K541">
        <v>28</v>
      </c>
      <c r="L541">
        <v>0</v>
      </c>
      <c r="M541">
        <v>35</v>
      </c>
      <c r="N541">
        <v>2</v>
      </c>
      <c r="O541">
        <v>13</v>
      </c>
      <c r="P541">
        <v>24674.84</v>
      </c>
      <c r="Q541">
        <v>115.13</v>
      </c>
      <c r="R541">
        <v>117.58</v>
      </c>
      <c r="S541">
        <v>0</v>
      </c>
      <c r="T541">
        <v>0</v>
      </c>
      <c r="U541">
        <v>0</v>
      </c>
      <c r="V541">
        <v>0</v>
      </c>
      <c r="W541">
        <v>0</v>
      </c>
      <c r="X541">
        <v>0</v>
      </c>
      <c r="Y541">
        <v>0</v>
      </c>
      <c r="Z541">
        <v>0</v>
      </c>
      <c r="AA541">
        <v>1</v>
      </c>
      <c r="AB541">
        <v>0</v>
      </c>
      <c r="AC541">
        <v>0</v>
      </c>
      <c r="AD541">
        <v>0</v>
      </c>
      <c r="AE541">
        <v>0</v>
      </c>
      <c r="AF541">
        <v>0</v>
      </c>
      <c r="AG541">
        <v>0</v>
      </c>
      <c r="AH541">
        <v>0</v>
      </c>
      <c r="AI541">
        <v>0</v>
      </c>
      <c r="AJ541">
        <v>0</v>
      </c>
      <c r="AK541">
        <v>0</v>
      </c>
      <c r="AL541">
        <v>0</v>
      </c>
      <c r="AM541">
        <v>0</v>
      </c>
      <c r="AN541">
        <v>0</v>
      </c>
      <c r="AO541">
        <v>0</v>
      </c>
      <c r="AP541">
        <v>0</v>
      </c>
    </row>
    <row r="542" spans="4:42" x14ac:dyDescent="0.45">
      <c r="D542">
        <v>2025</v>
      </c>
      <c r="E542">
        <v>8</v>
      </c>
      <c r="F542">
        <v>25246000</v>
      </c>
      <c r="G542">
        <v>2247787.56</v>
      </c>
      <c r="H542">
        <v>1818456.9</v>
      </c>
      <c r="I542">
        <v>414483.41</v>
      </c>
      <c r="J542">
        <v>24721.7</v>
      </c>
      <c r="K542">
        <v>186</v>
      </c>
      <c r="L542">
        <v>18</v>
      </c>
      <c r="M542">
        <v>734</v>
      </c>
      <c r="N542">
        <v>7</v>
      </c>
      <c r="O542">
        <v>31</v>
      </c>
      <c r="P542">
        <v>427253.36</v>
      </c>
      <c r="Q542">
        <v>117.43</v>
      </c>
      <c r="R542">
        <v>116.5</v>
      </c>
      <c r="S542">
        <v>0</v>
      </c>
      <c r="T542">
        <v>0</v>
      </c>
      <c r="U542">
        <v>0</v>
      </c>
      <c r="V542">
        <v>0</v>
      </c>
      <c r="W542">
        <v>0</v>
      </c>
      <c r="X542">
        <v>0</v>
      </c>
      <c r="Y542">
        <v>0</v>
      </c>
      <c r="Z542">
        <v>0</v>
      </c>
      <c r="AA542">
        <v>1</v>
      </c>
      <c r="AB542">
        <v>0</v>
      </c>
      <c r="AC542">
        <v>0</v>
      </c>
      <c r="AD542">
        <v>0</v>
      </c>
      <c r="AE542">
        <v>0</v>
      </c>
      <c r="AF542">
        <v>1</v>
      </c>
      <c r="AG542">
        <v>0</v>
      </c>
      <c r="AH542">
        <v>0</v>
      </c>
      <c r="AI542">
        <v>0</v>
      </c>
      <c r="AJ542">
        <v>0</v>
      </c>
      <c r="AK542">
        <v>0</v>
      </c>
      <c r="AL542">
        <v>0</v>
      </c>
      <c r="AM542">
        <v>0</v>
      </c>
      <c r="AN542">
        <v>0</v>
      </c>
      <c r="AO542">
        <v>0</v>
      </c>
      <c r="AP542">
        <v>0</v>
      </c>
    </row>
    <row r="543" spans="4:42" x14ac:dyDescent="0.45">
      <c r="D543">
        <v>2025</v>
      </c>
      <c r="E543">
        <v>9</v>
      </c>
      <c r="F543">
        <v>7115000</v>
      </c>
      <c r="G543">
        <v>763905.65</v>
      </c>
      <c r="H543">
        <v>296126.63</v>
      </c>
      <c r="I543">
        <v>257809.77</v>
      </c>
      <c r="J543">
        <v>201344.32</v>
      </c>
      <c r="K543">
        <v>32</v>
      </c>
      <c r="L543">
        <v>0</v>
      </c>
      <c r="M543">
        <v>49</v>
      </c>
      <c r="N543">
        <v>2</v>
      </c>
      <c r="O543">
        <v>15</v>
      </c>
      <c r="P543">
        <v>44716.160000000003</v>
      </c>
      <c r="Q543">
        <v>117.09</v>
      </c>
      <c r="R543">
        <v>116.65</v>
      </c>
      <c r="S543">
        <v>0</v>
      </c>
      <c r="T543">
        <v>0</v>
      </c>
      <c r="U543">
        <v>0</v>
      </c>
      <c r="V543">
        <v>0</v>
      </c>
      <c r="W543">
        <v>0</v>
      </c>
      <c r="X543">
        <v>0</v>
      </c>
      <c r="Y543">
        <v>1</v>
      </c>
      <c r="Z543">
        <v>0</v>
      </c>
      <c r="AA543">
        <v>0</v>
      </c>
      <c r="AB543">
        <v>0</v>
      </c>
      <c r="AC543">
        <v>0</v>
      </c>
      <c r="AD543">
        <v>0</v>
      </c>
      <c r="AE543">
        <v>0</v>
      </c>
      <c r="AF543">
        <v>0</v>
      </c>
      <c r="AG543">
        <v>0</v>
      </c>
      <c r="AH543">
        <v>1</v>
      </c>
      <c r="AI543">
        <v>0</v>
      </c>
      <c r="AJ543">
        <v>0</v>
      </c>
      <c r="AK543">
        <v>0</v>
      </c>
      <c r="AL543">
        <v>0</v>
      </c>
      <c r="AM543">
        <v>0</v>
      </c>
      <c r="AN543">
        <v>0</v>
      </c>
      <c r="AO543">
        <v>0</v>
      </c>
      <c r="AP543">
        <v>0</v>
      </c>
    </row>
    <row r="544" spans="4:42" x14ac:dyDescent="0.45">
      <c r="D544">
        <v>2025</v>
      </c>
      <c r="E544">
        <v>9</v>
      </c>
      <c r="F544">
        <v>15492000</v>
      </c>
      <c r="G544">
        <v>1338796.1000000001</v>
      </c>
      <c r="H544">
        <v>636807.21</v>
      </c>
      <c r="I544">
        <v>522761.5</v>
      </c>
      <c r="J544">
        <v>94764.47</v>
      </c>
      <c r="K544">
        <v>81</v>
      </c>
      <c r="L544">
        <v>5</v>
      </c>
      <c r="M544">
        <v>147</v>
      </c>
      <c r="N544">
        <v>5</v>
      </c>
      <c r="O544">
        <v>31</v>
      </c>
      <c r="P544">
        <v>176830.34</v>
      </c>
      <c r="Q544">
        <v>114.44</v>
      </c>
      <c r="R544">
        <v>115.91</v>
      </c>
      <c r="S544">
        <v>0</v>
      </c>
      <c r="T544">
        <v>0</v>
      </c>
      <c r="U544">
        <v>0</v>
      </c>
      <c r="V544">
        <v>0</v>
      </c>
      <c r="W544">
        <v>0</v>
      </c>
      <c r="X544">
        <v>0</v>
      </c>
      <c r="Y544">
        <v>1</v>
      </c>
      <c r="Z544">
        <v>0</v>
      </c>
      <c r="AA544">
        <v>0</v>
      </c>
      <c r="AB544">
        <v>0</v>
      </c>
      <c r="AC544">
        <v>0</v>
      </c>
      <c r="AD544">
        <v>0</v>
      </c>
      <c r="AE544">
        <v>0</v>
      </c>
      <c r="AF544">
        <v>0</v>
      </c>
      <c r="AG544">
        <v>0</v>
      </c>
      <c r="AH544">
        <v>0</v>
      </c>
      <c r="AI544">
        <v>0</v>
      </c>
      <c r="AJ544">
        <v>0</v>
      </c>
      <c r="AK544">
        <v>0</v>
      </c>
      <c r="AL544">
        <v>0</v>
      </c>
      <c r="AM544">
        <v>0</v>
      </c>
      <c r="AN544">
        <v>1</v>
      </c>
      <c r="AO544">
        <v>0</v>
      </c>
      <c r="AP544">
        <v>0</v>
      </c>
    </row>
    <row r="545" spans="4:42" x14ac:dyDescent="0.45">
      <c r="D545">
        <v>2025</v>
      </c>
      <c r="E545">
        <v>9</v>
      </c>
      <c r="F545">
        <v>8377000</v>
      </c>
      <c r="G545">
        <v>726291.87</v>
      </c>
      <c r="H545">
        <v>403402.1</v>
      </c>
      <c r="I545">
        <v>294053.71000000002</v>
      </c>
      <c r="J545">
        <v>21236.81</v>
      </c>
      <c r="K545">
        <v>47</v>
      </c>
      <c r="L545">
        <v>4</v>
      </c>
      <c r="M545">
        <v>78</v>
      </c>
      <c r="N545">
        <v>4</v>
      </c>
      <c r="O545">
        <v>15</v>
      </c>
      <c r="P545">
        <v>84878.27</v>
      </c>
      <c r="Q545">
        <v>110.73</v>
      </c>
      <c r="R545">
        <v>116.72</v>
      </c>
      <c r="S545">
        <v>0</v>
      </c>
      <c r="T545">
        <v>0</v>
      </c>
      <c r="U545">
        <v>0</v>
      </c>
      <c r="V545">
        <v>0</v>
      </c>
      <c r="W545">
        <v>0</v>
      </c>
      <c r="X545">
        <v>0</v>
      </c>
      <c r="Y545">
        <v>1</v>
      </c>
      <c r="Z545">
        <v>0</v>
      </c>
      <c r="AA545">
        <v>0</v>
      </c>
      <c r="AB545">
        <v>0</v>
      </c>
      <c r="AC545">
        <v>0</v>
      </c>
      <c r="AD545">
        <v>0</v>
      </c>
      <c r="AE545">
        <v>0</v>
      </c>
      <c r="AF545">
        <v>0</v>
      </c>
      <c r="AG545">
        <v>1</v>
      </c>
      <c r="AH545">
        <v>0</v>
      </c>
      <c r="AI545">
        <v>0</v>
      </c>
      <c r="AJ545">
        <v>0</v>
      </c>
      <c r="AK545">
        <v>0</v>
      </c>
      <c r="AL545">
        <v>0</v>
      </c>
      <c r="AM545">
        <v>0</v>
      </c>
      <c r="AN545">
        <v>0</v>
      </c>
      <c r="AO545">
        <v>0</v>
      </c>
      <c r="AP545">
        <v>0</v>
      </c>
    </row>
    <row r="546" spans="4:42" x14ac:dyDescent="0.45">
      <c r="D546">
        <v>2025</v>
      </c>
      <c r="E546">
        <v>9</v>
      </c>
      <c r="F546">
        <v>25246000</v>
      </c>
      <c r="G546">
        <v>2309645.27</v>
      </c>
      <c r="H546">
        <v>1834513.91</v>
      </c>
      <c r="I546">
        <v>426618.35</v>
      </c>
      <c r="J546">
        <v>27198.13</v>
      </c>
      <c r="K546">
        <v>188</v>
      </c>
      <c r="L546">
        <v>13</v>
      </c>
      <c r="M546">
        <v>856</v>
      </c>
      <c r="N546">
        <v>7</v>
      </c>
      <c r="O546">
        <v>29</v>
      </c>
      <c r="P546">
        <v>515424.03</v>
      </c>
      <c r="Q546">
        <v>112.04</v>
      </c>
      <c r="R546">
        <v>117.12</v>
      </c>
      <c r="S546">
        <v>0</v>
      </c>
      <c r="T546">
        <v>0</v>
      </c>
      <c r="U546">
        <v>0</v>
      </c>
      <c r="V546">
        <v>0</v>
      </c>
      <c r="W546">
        <v>0</v>
      </c>
      <c r="X546">
        <v>0</v>
      </c>
      <c r="Y546">
        <v>1</v>
      </c>
      <c r="Z546">
        <v>0</v>
      </c>
      <c r="AA546">
        <v>0</v>
      </c>
      <c r="AB546">
        <v>0</v>
      </c>
      <c r="AC546">
        <v>0</v>
      </c>
      <c r="AD546">
        <v>0</v>
      </c>
      <c r="AE546">
        <v>0</v>
      </c>
      <c r="AF546">
        <v>1</v>
      </c>
      <c r="AG546">
        <v>0</v>
      </c>
      <c r="AH546">
        <v>0</v>
      </c>
      <c r="AI546">
        <v>0</v>
      </c>
      <c r="AJ546">
        <v>0</v>
      </c>
      <c r="AK546">
        <v>0</v>
      </c>
      <c r="AL546">
        <v>0</v>
      </c>
      <c r="AM546">
        <v>0</v>
      </c>
      <c r="AN546">
        <v>0</v>
      </c>
      <c r="AO546">
        <v>0</v>
      </c>
      <c r="AP546">
        <v>0</v>
      </c>
    </row>
    <row r="547" spans="4:42" x14ac:dyDescent="0.45">
      <c r="D547">
        <v>2025</v>
      </c>
      <c r="E547">
        <v>9</v>
      </c>
      <c r="F547">
        <v>21803000</v>
      </c>
      <c r="G547">
        <v>2164350.67</v>
      </c>
      <c r="H547">
        <v>895433.77</v>
      </c>
      <c r="I547">
        <v>811990.28</v>
      </c>
      <c r="J547">
        <v>340604.73</v>
      </c>
      <c r="K547">
        <v>100</v>
      </c>
      <c r="L547">
        <v>6</v>
      </c>
      <c r="M547">
        <v>477</v>
      </c>
      <c r="N547">
        <v>6</v>
      </c>
      <c r="O547">
        <v>30</v>
      </c>
      <c r="P547">
        <v>307164.15000000002</v>
      </c>
      <c r="Q547">
        <v>116.96</v>
      </c>
      <c r="R547">
        <v>117.29</v>
      </c>
      <c r="S547">
        <v>0</v>
      </c>
      <c r="T547">
        <v>0</v>
      </c>
      <c r="U547">
        <v>0</v>
      </c>
      <c r="V547">
        <v>0</v>
      </c>
      <c r="W547">
        <v>0</v>
      </c>
      <c r="X547">
        <v>0</v>
      </c>
      <c r="Y547">
        <v>1</v>
      </c>
      <c r="Z547">
        <v>0</v>
      </c>
      <c r="AA547">
        <v>0</v>
      </c>
      <c r="AB547">
        <v>0</v>
      </c>
      <c r="AC547">
        <v>0</v>
      </c>
      <c r="AD547">
        <v>0</v>
      </c>
      <c r="AE547">
        <v>0</v>
      </c>
      <c r="AF547">
        <v>0</v>
      </c>
      <c r="AG547">
        <v>0</v>
      </c>
      <c r="AH547">
        <v>0</v>
      </c>
      <c r="AI547">
        <v>0</v>
      </c>
      <c r="AJ547">
        <v>0</v>
      </c>
      <c r="AK547">
        <v>0</v>
      </c>
      <c r="AL547">
        <v>0</v>
      </c>
      <c r="AM547">
        <v>0</v>
      </c>
      <c r="AN547">
        <v>0</v>
      </c>
      <c r="AO547">
        <v>0</v>
      </c>
      <c r="AP547">
        <v>1</v>
      </c>
    </row>
    <row r="548" spans="4:42" x14ac:dyDescent="0.45">
      <c r="D548">
        <v>2025</v>
      </c>
      <c r="E548">
        <v>9</v>
      </c>
      <c r="F548">
        <v>4820000</v>
      </c>
      <c r="G548">
        <v>423417.98</v>
      </c>
      <c r="H548">
        <v>340028.85</v>
      </c>
      <c r="I548">
        <v>69303.740000000005</v>
      </c>
      <c r="J548">
        <v>10674.35</v>
      </c>
      <c r="K548">
        <v>34</v>
      </c>
      <c r="L548">
        <v>3</v>
      </c>
      <c r="M548">
        <v>49</v>
      </c>
      <c r="N548">
        <v>1</v>
      </c>
      <c r="O548">
        <v>13</v>
      </c>
      <c r="P548">
        <v>15767.09</v>
      </c>
      <c r="Q548">
        <v>115.53</v>
      </c>
      <c r="R548">
        <v>117.24</v>
      </c>
      <c r="S548">
        <v>0</v>
      </c>
      <c r="T548">
        <v>0</v>
      </c>
      <c r="U548">
        <v>0</v>
      </c>
      <c r="V548">
        <v>0</v>
      </c>
      <c r="W548">
        <v>0</v>
      </c>
      <c r="X548">
        <v>0</v>
      </c>
      <c r="Y548">
        <v>1</v>
      </c>
      <c r="Z548">
        <v>0</v>
      </c>
      <c r="AA548">
        <v>0</v>
      </c>
      <c r="AB548">
        <v>0</v>
      </c>
      <c r="AC548">
        <v>0</v>
      </c>
      <c r="AD548">
        <v>0</v>
      </c>
      <c r="AE548">
        <v>0</v>
      </c>
      <c r="AF548">
        <v>0</v>
      </c>
      <c r="AG548">
        <v>0</v>
      </c>
      <c r="AH548">
        <v>0</v>
      </c>
      <c r="AI548">
        <v>0</v>
      </c>
      <c r="AJ548">
        <v>0</v>
      </c>
      <c r="AK548">
        <v>0</v>
      </c>
      <c r="AL548">
        <v>1</v>
      </c>
      <c r="AM548">
        <v>0</v>
      </c>
      <c r="AN548">
        <v>0</v>
      </c>
      <c r="AO548">
        <v>0</v>
      </c>
      <c r="AP548">
        <v>0</v>
      </c>
    </row>
    <row r="549" spans="4:42" x14ac:dyDescent="0.45">
      <c r="D549">
        <v>2025</v>
      </c>
      <c r="E549">
        <v>9</v>
      </c>
      <c r="F549">
        <v>4016000</v>
      </c>
      <c r="G549">
        <v>353029.43</v>
      </c>
      <c r="H549">
        <v>300297.57</v>
      </c>
      <c r="I549">
        <v>48329.73</v>
      </c>
      <c r="J549">
        <v>1898.12</v>
      </c>
      <c r="K549">
        <v>29</v>
      </c>
      <c r="L549">
        <v>6</v>
      </c>
      <c r="M549">
        <v>9</v>
      </c>
      <c r="N549">
        <v>2</v>
      </c>
      <c r="O549">
        <v>6</v>
      </c>
      <c r="P549">
        <v>22570.42</v>
      </c>
      <c r="Q549">
        <v>113</v>
      </c>
      <c r="R549">
        <v>116.53</v>
      </c>
      <c r="S549">
        <v>0</v>
      </c>
      <c r="T549">
        <v>0</v>
      </c>
      <c r="U549">
        <v>0</v>
      </c>
      <c r="V549">
        <v>0</v>
      </c>
      <c r="W549">
        <v>0</v>
      </c>
      <c r="X549">
        <v>0</v>
      </c>
      <c r="Y549">
        <v>1</v>
      </c>
      <c r="Z549">
        <v>0</v>
      </c>
      <c r="AA549">
        <v>0</v>
      </c>
      <c r="AB549">
        <v>0</v>
      </c>
      <c r="AC549">
        <v>0</v>
      </c>
      <c r="AD549">
        <v>0</v>
      </c>
      <c r="AE549">
        <v>0</v>
      </c>
      <c r="AF549">
        <v>0</v>
      </c>
      <c r="AG549">
        <v>0</v>
      </c>
      <c r="AH549">
        <v>0</v>
      </c>
      <c r="AI549">
        <v>0</v>
      </c>
      <c r="AJ549">
        <v>0</v>
      </c>
      <c r="AK549">
        <v>0</v>
      </c>
      <c r="AL549">
        <v>0</v>
      </c>
      <c r="AM549">
        <v>0</v>
      </c>
      <c r="AN549">
        <v>0</v>
      </c>
      <c r="AO549">
        <v>0</v>
      </c>
      <c r="AP549">
        <v>0</v>
      </c>
    </row>
    <row r="550" spans="4:42" x14ac:dyDescent="0.45">
      <c r="D550">
        <v>2025</v>
      </c>
      <c r="E550">
        <v>9</v>
      </c>
      <c r="F550">
        <v>9180000</v>
      </c>
      <c r="G550">
        <v>765146</v>
      </c>
      <c r="H550">
        <v>509346.31</v>
      </c>
      <c r="I550">
        <v>212396.45</v>
      </c>
      <c r="J550">
        <v>13442.17</v>
      </c>
      <c r="K550">
        <v>66</v>
      </c>
      <c r="L550">
        <v>6</v>
      </c>
      <c r="M550">
        <v>119</v>
      </c>
      <c r="N550">
        <v>2</v>
      </c>
      <c r="O550">
        <v>17</v>
      </c>
      <c r="P550">
        <v>41868.01</v>
      </c>
      <c r="Q550">
        <v>116.94</v>
      </c>
      <c r="R550">
        <v>116.87</v>
      </c>
      <c r="S550">
        <v>0</v>
      </c>
      <c r="T550">
        <v>0</v>
      </c>
      <c r="U550">
        <v>0</v>
      </c>
      <c r="V550">
        <v>0</v>
      </c>
      <c r="W550">
        <v>0</v>
      </c>
      <c r="X550">
        <v>0</v>
      </c>
      <c r="Y550">
        <v>1</v>
      </c>
      <c r="Z550">
        <v>0</v>
      </c>
      <c r="AA550">
        <v>0</v>
      </c>
      <c r="AB550">
        <v>0</v>
      </c>
      <c r="AC550">
        <v>0</v>
      </c>
      <c r="AD550">
        <v>0</v>
      </c>
      <c r="AE550">
        <v>0</v>
      </c>
      <c r="AF550">
        <v>0</v>
      </c>
      <c r="AG550">
        <v>0</v>
      </c>
      <c r="AH550">
        <v>0</v>
      </c>
      <c r="AI550">
        <v>0</v>
      </c>
      <c r="AJ550">
        <v>1</v>
      </c>
      <c r="AK550">
        <v>0</v>
      </c>
      <c r="AL550">
        <v>0</v>
      </c>
      <c r="AM550">
        <v>0</v>
      </c>
      <c r="AN550">
        <v>0</v>
      </c>
      <c r="AO550">
        <v>0</v>
      </c>
      <c r="AP550">
        <v>0</v>
      </c>
    </row>
    <row r="551" spans="4:42" x14ac:dyDescent="0.45">
      <c r="D551">
        <v>2025</v>
      </c>
      <c r="E551">
        <v>9</v>
      </c>
      <c r="F551">
        <v>5508000</v>
      </c>
      <c r="G551">
        <v>509572.9</v>
      </c>
      <c r="H551">
        <v>392256.49</v>
      </c>
      <c r="I551">
        <v>70711.960000000006</v>
      </c>
      <c r="J551">
        <v>50171.07</v>
      </c>
      <c r="K551">
        <v>37</v>
      </c>
      <c r="L551">
        <v>3</v>
      </c>
      <c r="M551">
        <v>81</v>
      </c>
      <c r="N551">
        <v>0</v>
      </c>
      <c r="O551">
        <v>2</v>
      </c>
      <c r="P551">
        <v>1515.58</v>
      </c>
      <c r="Q551">
        <v>114.8</v>
      </c>
      <c r="R551">
        <v>117.17</v>
      </c>
      <c r="S551">
        <v>0</v>
      </c>
      <c r="T551">
        <v>0</v>
      </c>
      <c r="U551">
        <v>0</v>
      </c>
      <c r="V551">
        <v>0</v>
      </c>
      <c r="W551">
        <v>0</v>
      </c>
      <c r="X551">
        <v>0</v>
      </c>
      <c r="Y551">
        <v>1</v>
      </c>
      <c r="Z551">
        <v>0</v>
      </c>
      <c r="AA551">
        <v>0</v>
      </c>
      <c r="AB551">
        <v>0</v>
      </c>
      <c r="AC551">
        <v>0</v>
      </c>
      <c r="AD551">
        <v>1</v>
      </c>
      <c r="AE551">
        <v>0</v>
      </c>
      <c r="AF551">
        <v>0</v>
      </c>
      <c r="AG551">
        <v>0</v>
      </c>
      <c r="AH551">
        <v>0</v>
      </c>
      <c r="AI551">
        <v>0</v>
      </c>
      <c r="AJ551">
        <v>0</v>
      </c>
      <c r="AK551">
        <v>0</v>
      </c>
      <c r="AL551">
        <v>0</v>
      </c>
      <c r="AM551">
        <v>0</v>
      </c>
      <c r="AN551">
        <v>0</v>
      </c>
      <c r="AO551">
        <v>0</v>
      </c>
      <c r="AP551">
        <v>0</v>
      </c>
    </row>
    <row r="552" spans="4:42" x14ac:dyDescent="0.45">
      <c r="D552">
        <v>2025</v>
      </c>
      <c r="E552">
        <v>9</v>
      </c>
      <c r="F552">
        <v>8377000</v>
      </c>
      <c r="G552">
        <v>726291.87</v>
      </c>
      <c r="H552">
        <v>403402.1</v>
      </c>
      <c r="I552">
        <v>294053.71000000002</v>
      </c>
      <c r="J552">
        <v>21236.81</v>
      </c>
      <c r="K552">
        <v>47</v>
      </c>
      <c r="L552">
        <v>4</v>
      </c>
      <c r="M552">
        <v>78</v>
      </c>
      <c r="N552">
        <v>4</v>
      </c>
      <c r="O552">
        <v>15</v>
      </c>
      <c r="P552">
        <v>84878.27</v>
      </c>
      <c r="Q552">
        <v>110.73</v>
      </c>
      <c r="R552">
        <v>116.72</v>
      </c>
      <c r="S552">
        <v>0</v>
      </c>
      <c r="T552">
        <v>0</v>
      </c>
      <c r="U552">
        <v>0</v>
      </c>
      <c r="V552">
        <v>0</v>
      </c>
      <c r="W552">
        <v>0</v>
      </c>
      <c r="X552">
        <v>0</v>
      </c>
      <c r="Y552">
        <v>1</v>
      </c>
      <c r="Z552">
        <v>0</v>
      </c>
      <c r="AA552">
        <v>0</v>
      </c>
      <c r="AB552">
        <v>0</v>
      </c>
      <c r="AC552">
        <v>0</v>
      </c>
      <c r="AD552">
        <v>0</v>
      </c>
      <c r="AE552">
        <v>0</v>
      </c>
      <c r="AF552">
        <v>0</v>
      </c>
      <c r="AG552">
        <v>1</v>
      </c>
      <c r="AH552">
        <v>0</v>
      </c>
      <c r="AI552">
        <v>0</v>
      </c>
      <c r="AJ552">
        <v>0</v>
      </c>
      <c r="AK552">
        <v>0</v>
      </c>
      <c r="AL552">
        <v>0</v>
      </c>
      <c r="AM552">
        <v>0</v>
      </c>
      <c r="AN552">
        <v>0</v>
      </c>
      <c r="AO552">
        <v>0</v>
      </c>
      <c r="AP552">
        <v>0</v>
      </c>
    </row>
    <row r="553" spans="4:42" x14ac:dyDescent="0.45">
      <c r="D553">
        <v>2025</v>
      </c>
      <c r="E553">
        <v>9</v>
      </c>
      <c r="F553">
        <v>28688000</v>
      </c>
      <c r="G553">
        <v>2594188.7000000002</v>
      </c>
      <c r="H553">
        <v>1914325.14</v>
      </c>
      <c r="I553">
        <v>634023.41</v>
      </c>
      <c r="J553">
        <v>74891.789999999994</v>
      </c>
      <c r="K553">
        <v>211</v>
      </c>
      <c r="L553">
        <v>18</v>
      </c>
      <c r="M553">
        <v>1021</v>
      </c>
      <c r="N553">
        <v>8</v>
      </c>
      <c r="O553">
        <v>31</v>
      </c>
      <c r="P553">
        <v>418054.2</v>
      </c>
      <c r="Q553">
        <v>115.08</v>
      </c>
      <c r="R553">
        <v>117.1</v>
      </c>
      <c r="S553">
        <v>0</v>
      </c>
      <c r="T553">
        <v>0</v>
      </c>
      <c r="U553">
        <v>0</v>
      </c>
      <c r="V553">
        <v>0</v>
      </c>
      <c r="W553">
        <v>0</v>
      </c>
      <c r="X553">
        <v>0</v>
      </c>
      <c r="Y553">
        <v>1</v>
      </c>
      <c r="Z553">
        <v>0</v>
      </c>
      <c r="AA553">
        <v>0</v>
      </c>
      <c r="AB553">
        <v>0</v>
      </c>
      <c r="AC553">
        <v>0</v>
      </c>
      <c r="AD553">
        <v>0</v>
      </c>
      <c r="AE553">
        <v>0</v>
      </c>
      <c r="AF553">
        <v>0</v>
      </c>
      <c r="AG553">
        <v>0</v>
      </c>
      <c r="AH553">
        <v>0</v>
      </c>
      <c r="AI553">
        <v>0</v>
      </c>
      <c r="AJ553">
        <v>0</v>
      </c>
      <c r="AK553">
        <v>0</v>
      </c>
      <c r="AL553">
        <v>0</v>
      </c>
      <c r="AM553">
        <v>1</v>
      </c>
      <c r="AN553">
        <v>0</v>
      </c>
      <c r="AO553">
        <v>0</v>
      </c>
      <c r="AP553">
        <v>0</v>
      </c>
    </row>
    <row r="554" spans="4:42" x14ac:dyDescent="0.45">
      <c r="D554">
        <v>2025</v>
      </c>
      <c r="E554">
        <v>10</v>
      </c>
      <c r="F554">
        <v>9180000</v>
      </c>
      <c r="G554">
        <v>690126.37</v>
      </c>
      <c r="H554">
        <v>485729.6</v>
      </c>
      <c r="I554">
        <v>228839.02</v>
      </c>
      <c r="J554">
        <v>11696.47</v>
      </c>
      <c r="K554">
        <v>67</v>
      </c>
      <c r="L554">
        <v>6</v>
      </c>
      <c r="M554">
        <v>56</v>
      </c>
      <c r="N554">
        <v>4</v>
      </c>
      <c r="O554">
        <v>17</v>
      </c>
      <c r="P554">
        <v>116350.23</v>
      </c>
      <c r="Q554">
        <v>116.57</v>
      </c>
      <c r="R554">
        <v>116.39</v>
      </c>
      <c r="S554">
        <v>0</v>
      </c>
      <c r="T554">
        <v>0</v>
      </c>
      <c r="U554">
        <v>0</v>
      </c>
      <c r="V554">
        <v>0</v>
      </c>
      <c r="W554">
        <v>0</v>
      </c>
      <c r="X554">
        <v>1</v>
      </c>
      <c r="Y554">
        <v>0</v>
      </c>
      <c r="Z554">
        <v>0</v>
      </c>
      <c r="AA554">
        <v>0</v>
      </c>
      <c r="AB554">
        <v>0</v>
      </c>
      <c r="AC554">
        <v>0</v>
      </c>
      <c r="AD554">
        <v>0</v>
      </c>
      <c r="AE554">
        <v>0</v>
      </c>
      <c r="AF554">
        <v>0</v>
      </c>
      <c r="AG554">
        <v>0</v>
      </c>
      <c r="AH554">
        <v>0</v>
      </c>
      <c r="AI554">
        <v>0</v>
      </c>
      <c r="AJ554">
        <v>1</v>
      </c>
      <c r="AK554">
        <v>0</v>
      </c>
      <c r="AL554">
        <v>0</v>
      </c>
      <c r="AM554">
        <v>0</v>
      </c>
      <c r="AN554">
        <v>0</v>
      </c>
      <c r="AO554">
        <v>0</v>
      </c>
      <c r="AP554">
        <v>0</v>
      </c>
    </row>
    <row r="555" spans="4:42" x14ac:dyDescent="0.45">
      <c r="D555">
        <v>2025</v>
      </c>
      <c r="E555">
        <v>10</v>
      </c>
      <c r="F555">
        <v>7115000</v>
      </c>
      <c r="G555">
        <v>532852.47</v>
      </c>
      <c r="H555">
        <v>297125.38</v>
      </c>
      <c r="I555">
        <v>219534.67</v>
      </c>
      <c r="J555">
        <v>20865.009999999998</v>
      </c>
      <c r="K555">
        <v>31</v>
      </c>
      <c r="L555">
        <v>1</v>
      </c>
      <c r="M555">
        <v>45</v>
      </c>
      <c r="N555">
        <v>2</v>
      </c>
      <c r="O555">
        <v>19</v>
      </c>
      <c r="P555">
        <v>38385.82</v>
      </c>
      <c r="Q555">
        <v>115.87</v>
      </c>
      <c r="R555">
        <v>118.44</v>
      </c>
      <c r="S555">
        <v>0</v>
      </c>
      <c r="T555">
        <v>0</v>
      </c>
      <c r="U555">
        <v>0</v>
      </c>
      <c r="V555">
        <v>0</v>
      </c>
      <c r="W555">
        <v>0</v>
      </c>
      <c r="X555">
        <v>1</v>
      </c>
      <c r="Y555">
        <v>0</v>
      </c>
      <c r="Z555">
        <v>0</v>
      </c>
      <c r="AA555">
        <v>0</v>
      </c>
      <c r="AB555">
        <v>0</v>
      </c>
      <c r="AC555">
        <v>0</v>
      </c>
      <c r="AD555">
        <v>0</v>
      </c>
      <c r="AE555">
        <v>0</v>
      </c>
      <c r="AF555">
        <v>0</v>
      </c>
      <c r="AG555">
        <v>0</v>
      </c>
      <c r="AH555">
        <v>1</v>
      </c>
      <c r="AI555">
        <v>0</v>
      </c>
      <c r="AJ555">
        <v>0</v>
      </c>
      <c r="AK555">
        <v>0</v>
      </c>
      <c r="AL555">
        <v>0</v>
      </c>
      <c r="AM555">
        <v>0</v>
      </c>
      <c r="AN555">
        <v>0</v>
      </c>
      <c r="AO555">
        <v>0</v>
      </c>
      <c r="AP555">
        <v>0</v>
      </c>
    </row>
    <row r="556" spans="4:42" x14ac:dyDescent="0.45">
      <c r="D556">
        <v>2025</v>
      </c>
      <c r="E556">
        <v>10</v>
      </c>
      <c r="F556">
        <v>21803000</v>
      </c>
      <c r="G556">
        <v>1715517.96</v>
      </c>
      <c r="H556">
        <v>882556.43</v>
      </c>
      <c r="I556">
        <v>784761.27</v>
      </c>
      <c r="J556">
        <v>122441.04</v>
      </c>
      <c r="K556">
        <v>98</v>
      </c>
      <c r="L556">
        <v>5</v>
      </c>
      <c r="M556">
        <v>428</v>
      </c>
      <c r="N556">
        <v>5</v>
      </c>
      <c r="O556">
        <v>26</v>
      </c>
      <c r="P556">
        <v>287072</v>
      </c>
      <c r="Q556">
        <v>119.67</v>
      </c>
      <c r="R556">
        <v>117.95</v>
      </c>
      <c r="S556">
        <v>0</v>
      </c>
      <c r="T556">
        <v>0</v>
      </c>
      <c r="U556">
        <v>0</v>
      </c>
      <c r="V556">
        <v>0</v>
      </c>
      <c r="W556">
        <v>0</v>
      </c>
      <c r="X556">
        <v>1</v>
      </c>
      <c r="Y556">
        <v>0</v>
      </c>
      <c r="Z556">
        <v>0</v>
      </c>
      <c r="AA556">
        <v>0</v>
      </c>
      <c r="AB556">
        <v>0</v>
      </c>
      <c r="AC556">
        <v>0</v>
      </c>
      <c r="AD556">
        <v>0</v>
      </c>
      <c r="AE556">
        <v>0</v>
      </c>
      <c r="AF556">
        <v>0</v>
      </c>
      <c r="AG556">
        <v>0</v>
      </c>
      <c r="AH556">
        <v>0</v>
      </c>
      <c r="AI556">
        <v>0</v>
      </c>
      <c r="AJ556">
        <v>0</v>
      </c>
      <c r="AK556">
        <v>0</v>
      </c>
      <c r="AL556">
        <v>0</v>
      </c>
      <c r="AM556">
        <v>0</v>
      </c>
      <c r="AN556">
        <v>0</v>
      </c>
      <c r="AO556">
        <v>0</v>
      </c>
      <c r="AP556">
        <v>1</v>
      </c>
    </row>
    <row r="557" spans="4:42" x14ac:dyDescent="0.45">
      <c r="D557">
        <v>2025</v>
      </c>
      <c r="E557">
        <v>10</v>
      </c>
      <c r="F557">
        <v>4820000</v>
      </c>
      <c r="G557">
        <v>419952.66</v>
      </c>
      <c r="H557">
        <v>343126.98</v>
      </c>
      <c r="I557">
        <v>60935.97</v>
      </c>
      <c r="J557">
        <v>10798.26</v>
      </c>
      <c r="K557">
        <v>34</v>
      </c>
      <c r="L557">
        <v>4</v>
      </c>
      <c r="M557">
        <v>26</v>
      </c>
      <c r="N557">
        <v>0</v>
      </c>
      <c r="O557">
        <v>11</v>
      </c>
      <c r="P557">
        <v>8541.18</v>
      </c>
      <c r="Q557">
        <v>117.5</v>
      </c>
      <c r="R557">
        <v>117.68</v>
      </c>
      <c r="S557">
        <v>0</v>
      </c>
      <c r="T557">
        <v>0</v>
      </c>
      <c r="U557">
        <v>0</v>
      </c>
      <c r="V557">
        <v>0</v>
      </c>
      <c r="W557">
        <v>0</v>
      </c>
      <c r="X557">
        <v>1</v>
      </c>
      <c r="Y557">
        <v>0</v>
      </c>
      <c r="Z557">
        <v>0</v>
      </c>
      <c r="AA557">
        <v>0</v>
      </c>
      <c r="AB557">
        <v>0</v>
      </c>
      <c r="AC557">
        <v>0</v>
      </c>
      <c r="AD557">
        <v>0</v>
      </c>
      <c r="AE557">
        <v>0</v>
      </c>
      <c r="AF557">
        <v>0</v>
      </c>
      <c r="AG557">
        <v>0</v>
      </c>
      <c r="AH557">
        <v>0</v>
      </c>
      <c r="AI557">
        <v>0</v>
      </c>
      <c r="AJ557">
        <v>0</v>
      </c>
      <c r="AK557">
        <v>0</v>
      </c>
      <c r="AL557">
        <v>1</v>
      </c>
      <c r="AM557">
        <v>0</v>
      </c>
      <c r="AN557">
        <v>0</v>
      </c>
      <c r="AO557">
        <v>0</v>
      </c>
      <c r="AP557">
        <v>0</v>
      </c>
    </row>
    <row r="558" spans="4:42" x14ac:dyDescent="0.45">
      <c r="D558">
        <v>2025</v>
      </c>
      <c r="E558">
        <v>10</v>
      </c>
      <c r="F558">
        <v>15492000</v>
      </c>
      <c r="G558">
        <v>1322073.3400000001</v>
      </c>
      <c r="H558">
        <v>653634.78</v>
      </c>
      <c r="I558">
        <v>464518.93</v>
      </c>
      <c r="J558">
        <v>269167.12</v>
      </c>
      <c r="K558">
        <v>82</v>
      </c>
      <c r="L558">
        <v>5</v>
      </c>
      <c r="M558">
        <v>116</v>
      </c>
      <c r="N558">
        <v>5</v>
      </c>
      <c r="O558">
        <v>24</v>
      </c>
      <c r="P558">
        <v>255358.71</v>
      </c>
      <c r="Q558">
        <v>114.95</v>
      </c>
      <c r="R558">
        <v>117.32</v>
      </c>
      <c r="S558">
        <v>0</v>
      </c>
      <c r="T558">
        <v>0</v>
      </c>
      <c r="U558">
        <v>0</v>
      </c>
      <c r="V558">
        <v>0</v>
      </c>
      <c r="W558">
        <v>0</v>
      </c>
      <c r="X558">
        <v>1</v>
      </c>
      <c r="Y558">
        <v>0</v>
      </c>
      <c r="Z558">
        <v>0</v>
      </c>
      <c r="AA558">
        <v>0</v>
      </c>
      <c r="AB558">
        <v>0</v>
      </c>
      <c r="AC558">
        <v>0</v>
      </c>
      <c r="AD558">
        <v>0</v>
      </c>
      <c r="AE558">
        <v>0</v>
      </c>
      <c r="AF558">
        <v>0</v>
      </c>
      <c r="AG558">
        <v>0</v>
      </c>
      <c r="AH558">
        <v>0</v>
      </c>
      <c r="AI558">
        <v>0</v>
      </c>
      <c r="AJ558">
        <v>0</v>
      </c>
      <c r="AK558">
        <v>0</v>
      </c>
      <c r="AL558">
        <v>0</v>
      </c>
      <c r="AM558">
        <v>0</v>
      </c>
      <c r="AN558">
        <v>1</v>
      </c>
      <c r="AO558">
        <v>0</v>
      </c>
      <c r="AP558">
        <v>0</v>
      </c>
    </row>
    <row r="559" spans="4:42" x14ac:dyDescent="0.45">
      <c r="D559">
        <v>2025</v>
      </c>
      <c r="E559">
        <v>10</v>
      </c>
      <c r="F559">
        <v>8377000</v>
      </c>
      <c r="G559">
        <v>714522.27</v>
      </c>
      <c r="H559">
        <v>391701.08</v>
      </c>
      <c r="I559">
        <v>256959.89</v>
      </c>
      <c r="J559">
        <v>41311.99</v>
      </c>
      <c r="K559">
        <v>44</v>
      </c>
      <c r="L559">
        <v>6</v>
      </c>
      <c r="M559">
        <v>98</v>
      </c>
      <c r="N559">
        <v>4</v>
      </c>
      <c r="O559">
        <v>16</v>
      </c>
      <c r="P559">
        <v>84826.63</v>
      </c>
      <c r="Q559">
        <v>116.27</v>
      </c>
      <c r="R559">
        <v>117.31</v>
      </c>
      <c r="S559">
        <v>0</v>
      </c>
      <c r="T559">
        <v>0</v>
      </c>
      <c r="U559">
        <v>0</v>
      </c>
      <c r="V559">
        <v>0</v>
      </c>
      <c r="W559">
        <v>0</v>
      </c>
      <c r="X559">
        <v>1</v>
      </c>
      <c r="Y559">
        <v>0</v>
      </c>
      <c r="Z559">
        <v>0</v>
      </c>
      <c r="AA559">
        <v>0</v>
      </c>
      <c r="AB559">
        <v>0</v>
      </c>
      <c r="AC559">
        <v>0</v>
      </c>
      <c r="AD559">
        <v>0</v>
      </c>
      <c r="AE559">
        <v>0</v>
      </c>
      <c r="AF559">
        <v>0</v>
      </c>
      <c r="AG559">
        <v>1</v>
      </c>
      <c r="AH559">
        <v>0</v>
      </c>
      <c r="AI559">
        <v>0</v>
      </c>
      <c r="AJ559">
        <v>0</v>
      </c>
      <c r="AK559">
        <v>0</v>
      </c>
      <c r="AL559">
        <v>0</v>
      </c>
      <c r="AM559">
        <v>0</v>
      </c>
      <c r="AN559">
        <v>0</v>
      </c>
      <c r="AO559">
        <v>0</v>
      </c>
      <c r="AP559">
        <v>0</v>
      </c>
    </row>
    <row r="560" spans="4:42" x14ac:dyDescent="0.45">
      <c r="D560">
        <v>2025</v>
      </c>
      <c r="E560">
        <v>10</v>
      </c>
      <c r="F560">
        <v>4016000</v>
      </c>
      <c r="G560">
        <v>368523.8</v>
      </c>
      <c r="H560">
        <v>309861</v>
      </c>
      <c r="I560">
        <v>44580.11</v>
      </c>
      <c r="J560">
        <v>6912.05</v>
      </c>
      <c r="K560">
        <v>29</v>
      </c>
      <c r="L560">
        <v>2</v>
      </c>
      <c r="M560">
        <v>67</v>
      </c>
      <c r="N560">
        <v>0</v>
      </c>
      <c r="O560">
        <v>9</v>
      </c>
      <c r="P560">
        <v>4900.08</v>
      </c>
      <c r="Q560">
        <v>117.97</v>
      </c>
      <c r="R560">
        <v>116.93</v>
      </c>
      <c r="S560">
        <v>0</v>
      </c>
      <c r="T560">
        <v>0</v>
      </c>
      <c r="U560">
        <v>0</v>
      </c>
      <c r="V560">
        <v>0</v>
      </c>
      <c r="W560">
        <v>0</v>
      </c>
      <c r="X560">
        <v>1</v>
      </c>
      <c r="Y560">
        <v>0</v>
      </c>
      <c r="Z560">
        <v>0</v>
      </c>
      <c r="AA560">
        <v>0</v>
      </c>
      <c r="AB560">
        <v>0</v>
      </c>
      <c r="AC560">
        <v>0</v>
      </c>
      <c r="AD560">
        <v>0</v>
      </c>
      <c r="AE560">
        <v>0</v>
      </c>
      <c r="AF560">
        <v>0</v>
      </c>
      <c r="AG560">
        <v>0</v>
      </c>
      <c r="AH560">
        <v>0</v>
      </c>
      <c r="AI560">
        <v>0</v>
      </c>
      <c r="AJ560">
        <v>0</v>
      </c>
      <c r="AK560">
        <v>0</v>
      </c>
      <c r="AL560">
        <v>0</v>
      </c>
      <c r="AM560">
        <v>0</v>
      </c>
      <c r="AN560">
        <v>0</v>
      </c>
      <c r="AO560">
        <v>0</v>
      </c>
      <c r="AP560">
        <v>0</v>
      </c>
    </row>
    <row r="561" spans="4:42" x14ac:dyDescent="0.45">
      <c r="D561">
        <v>2025</v>
      </c>
      <c r="E561">
        <v>10</v>
      </c>
      <c r="F561">
        <v>28688000</v>
      </c>
      <c r="G561">
        <v>2330864.52</v>
      </c>
      <c r="H561">
        <v>1818970.38</v>
      </c>
      <c r="I561">
        <v>514847.42</v>
      </c>
      <c r="J561">
        <v>80726.77</v>
      </c>
      <c r="K561">
        <v>215</v>
      </c>
      <c r="L561">
        <v>15</v>
      </c>
      <c r="M561">
        <v>586</v>
      </c>
      <c r="N561">
        <v>8</v>
      </c>
      <c r="O561">
        <v>36</v>
      </c>
      <c r="P561">
        <v>571037.28</v>
      </c>
      <c r="Q561">
        <v>115.68</v>
      </c>
      <c r="R561">
        <v>116.2</v>
      </c>
      <c r="S561">
        <v>0</v>
      </c>
      <c r="T561">
        <v>0</v>
      </c>
      <c r="U561">
        <v>0</v>
      </c>
      <c r="V561">
        <v>0</v>
      </c>
      <c r="W561">
        <v>0</v>
      </c>
      <c r="X561">
        <v>1</v>
      </c>
      <c r="Y561">
        <v>0</v>
      </c>
      <c r="Z561">
        <v>0</v>
      </c>
      <c r="AA561">
        <v>0</v>
      </c>
      <c r="AB561">
        <v>0</v>
      </c>
      <c r="AC561">
        <v>0</v>
      </c>
      <c r="AD561">
        <v>0</v>
      </c>
      <c r="AE561">
        <v>0</v>
      </c>
      <c r="AF561">
        <v>0</v>
      </c>
      <c r="AG561">
        <v>0</v>
      </c>
      <c r="AH561">
        <v>0</v>
      </c>
      <c r="AI561">
        <v>0</v>
      </c>
      <c r="AJ561">
        <v>0</v>
      </c>
      <c r="AK561">
        <v>0</v>
      </c>
      <c r="AL561">
        <v>0</v>
      </c>
      <c r="AM561">
        <v>1</v>
      </c>
      <c r="AN561">
        <v>0</v>
      </c>
      <c r="AO561">
        <v>0</v>
      </c>
      <c r="AP561">
        <v>0</v>
      </c>
    </row>
    <row r="562" spans="4:42" x14ac:dyDescent="0.45">
      <c r="D562">
        <v>2025</v>
      </c>
      <c r="E562">
        <v>10</v>
      </c>
      <c r="F562">
        <v>25246000</v>
      </c>
      <c r="G562">
        <v>2254536.87</v>
      </c>
      <c r="H562">
        <v>1830179.63</v>
      </c>
      <c r="I562">
        <v>389855.65</v>
      </c>
      <c r="J562">
        <v>71586.45</v>
      </c>
      <c r="K562">
        <v>188</v>
      </c>
      <c r="L562">
        <v>16</v>
      </c>
      <c r="M562">
        <v>952</v>
      </c>
      <c r="N562">
        <v>7</v>
      </c>
      <c r="O562">
        <v>36</v>
      </c>
      <c r="P562">
        <v>566486.4</v>
      </c>
      <c r="Q562">
        <v>115.66</v>
      </c>
      <c r="R562">
        <v>117.57</v>
      </c>
      <c r="S562">
        <v>0</v>
      </c>
      <c r="T562">
        <v>0</v>
      </c>
      <c r="U562">
        <v>0</v>
      </c>
      <c r="V562">
        <v>0</v>
      </c>
      <c r="W562">
        <v>0</v>
      </c>
      <c r="X562">
        <v>1</v>
      </c>
      <c r="Y562">
        <v>0</v>
      </c>
      <c r="Z562">
        <v>0</v>
      </c>
      <c r="AA562">
        <v>0</v>
      </c>
      <c r="AB562">
        <v>0</v>
      </c>
      <c r="AC562">
        <v>0</v>
      </c>
      <c r="AD562">
        <v>0</v>
      </c>
      <c r="AE562">
        <v>0</v>
      </c>
      <c r="AF562">
        <v>1</v>
      </c>
      <c r="AG562">
        <v>0</v>
      </c>
      <c r="AH562">
        <v>0</v>
      </c>
      <c r="AI562">
        <v>0</v>
      </c>
      <c r="AJ562">
        <v>0</v>
      </c>
      <c r="AK562">
        <v>0</v>
      </c>
      <c r="AL562">
        <v>0</v>
      </c>
      <c r="AM562">
        <v>0</v>
      </c>
      <c r="AN562">
        <v>0</v>
      </c>
      <c r="AO562">
        <v>0</v>
      </c>
      <c r="AP562">
        <v>0</v>
      </c>
    </row>
    <row r="563" spans="4:42" x14ac:dyDescent="0.45">
      <c r="D563">
        <v>2025</v>
      </c>
      <c r="E563">
        <v>10</v>
      </c>
      <c r="F563">
        <v>5508000</v>
      </c>
      <c r="G563">
        <v>492240.58</v>
      </c>
      <c r="H563">
        <v>415987.54</v>
      </c>
      <c r="I563">
        <v>69850.320000000007</v>
      </c>
      <c r="J563">
        <v>4996.1099999999997</v>
      </c>
      <c r="K563">
        <v>39</v>
      </c>
      <c r="L563">
        <v>3</v>
      </c>
      <c r="M563">
        <v>43</v>
      </c>
      <c r="N563">
        <v>1</v>
      </c>
      <c r="O563">
        <v>13</v>
      </c>
      <c r="P563">
        <v>21263.62</v>
      </c>
      <c r="Q563">
        <v>120.25</v>
      </c>
      <c r="R563">
        <v>117.14</v>
      </c>
      <c r="S563">
        <v>0</v>
      </c>
      <c r="T563">
        <v>0</v>
      </c>
      <c r="U563">
        <v>0</v>
      </c>
      <c r="V563">
        <v>0</v>
      </c>
      <c r="W563">
        <v>0</v>
      </c>
      <c r="X563">
        <v>1</v>
      </c>
      <c r="Y563">
        <v>0</v>
      </c>
      <c r="Z563">
        <v>0</v>
      </c>
      <c r="AA563">
        <v>0</v>
      </c>
      <c r="AB563">
        <v>0</v>
      </c>
      <c r="AC563">
        <v>0</v>
      </c>
      <c r="AD563">
        <v>1</v>
      </c>
      <c r="AE563">
        <v>0</v>
      </c>
      <c r="AF563">
        <v>0</v>
      </c>
      <c r="AG563">
        <v>0</v>
      </c>
      <c r="AH563">
        <v>0</v>
      </c>
      <c r="AI563">
        <v>0</v>
      </c>
      <c r="AJ563">
        <v>0</v>
      </c>
      <c r="AK563">
        <v>0</v>
      </c>
      <c r="AL563">
        <v>0</v>
      </c>
      <c r="AM563">
        <v>0</v>
      </c>
      <c r="AN563">
        <v>0</v>
      </c>
      <c r="AO563">
        <v>0</v>
      </c>
      <c r="AP563">
        <v>0</v>
      </c>
    </row>
    <row r="564" spans="4:42" x14ac:dyDescent="0.45">
      <c r="D564">
        <v>2025</v>
      </c>
      <c r="E564">
        <v>11</v>
      </c>
      <c r="F564">
        <v>4016000</v>
      </c>
      <c r="G564">
        <v>346457.38</v>
      </c>
      <c r="H564">
        <v>296291.33</v>
      </c>
      <c r="I564">
        <v>46188.39</v>
      </c>
      <c r="J564">
        <v>3076.82</v>
      </c>
      <c r="K564">
        <v>29</v>
      </c>
      <c r="L564">
        <v>5</v>
      </c>
      <c r="M564">
        <v>0</v>
      </c>
      <c r="N564">
        <v>4</v>
      </c>
      <c r="O564">
        <v>17</v>
      </c>
      <c r="P564">
        <v>36104.58</v>
      </c>
      <c r="Q564">
        <v>120.44</v>
      </c>
      <c r="R564">
        <v>117.53</v>
      </c>
      <c r="S564">
        <v>0</v>
      </c>
      <c r="T564">
        <v>1</v>
      </c>
      <c r="U564">
        <v>0</v>
      </c>
      <c r="V564">
        <v>0</v>
      </c>
      <c r="W564">
        <v>0</v>
      </c>
      <c r="X564">
        <v>0</v>
      </c>
      <c r="Y564">
        <v>0</v>
      </c>
      <c r="Z564">
        <v>0</v>
      </c>
      <c r="AA564">
        <v>0</v>
      </c>
      <c r="AB564">
        <v>0</v>
      </c>
      <c r="AC564">
        <v>0</v>
      </c>
      <c r="AD564">
        <v>0</v>
      </c>
      <c r="AE564">
        <v>0</v>
      </c>
      <c r="AF564">
        <v>0</v>
      </c>
      <c r="AG564">
        <v>0</v>
      </c>
      <c r="AH564">
        <v>0</v>
      </c>
      <c r="AI564">
        <v>0</v>
      </c>
      <c r="AJ564">
        <v>0</v>
      </c>
      <c r="AK564">
        <v>0</v>
      </c>
      <c r="AL564">
        <v>0</v>
      </c>
      <c r="AM564">
        <v>0</v>
      </c>
      <c r="AN564">
        <v>0</v>
      </c>
      <c r="AO564">
        <v>0</v>
      </c>
      <c r="AP564">
        <v>0</v>
      </c>
    </row>
    <row r="565" spans="4:42" x14ac:dyDescent="0.45">
      <c r="D565">
        <v>2025</v>
      </c>
      <c r="E565">
        <v>11</v>
      </c>
      <c r="F565">
        <v>5508000</v>
      </c>
      <c r="G565">
        <v>481586.28</v>
      </c>
      <c r="H565">
        <v>409451.37</v>
      </c>
      <c r="I565">
        <v>67698.350000000006</v>
      </c>
      <c r="J565">
        <v>4619.25</v>
      </c>
      <c r="K565">
        <v>39</v>
      </c>
      <c r="L565">
        <v>2</v>
      </c>
      <c r="M565">
        <v>20</v>
      </c>
      <c r="N565">
        <v>1</v>
      </c>
      <c r="O565">
        <v>10</v>
      </c>
      <c r="P565">
        <v>16887.11</v>
      </c>
      <c r="Q565">
        <v>115.91</v>
      </c>
      <c r="R565">
        <v>117.94</v>
      </c>
      <c r="S565">
        <v>0</v>
      </c>
      <c r="T565">
        <v>1</v>
      </c>
      <c r="U565">
        <v>0</v>
      </c>
      <c r="V565">
        <v>0</v>
      </c>
      <c r="W565">
        <v>0</v>
      </c>
      <c r="X565">
        <v>0</v>
      </c>
      <c r="Y565">
        <v>0</v>
      </c>
      <c r="Z565">
        <v>0</v>
      </c>
      <c r="AA565">
        <v>0</v>
      </c>
      <c r="AB565">
        <v>0</v>
      </c>
      <c r="AC565">
        <v>0</v>
      </c>
      <c r="AD565">
        <v>1</v>
      </c>
      <c r="AE565">
        <v>0</v>
      </c>
      <c r="AF565">
        <v>0</v>
      </c>
      <c r="AG565">
        <v>0</v>
      </c>
      <c r="AH565">
        <v>0</v>
      </c>
      <c r="AI565">
        <v>0</v>
      </c>
      <c r="AJ565">
        <v>0</v>
      </c>
      <c r="AK565">
        <v>0</v>
      </c>
      <c r="AL565">
        <v>0</v>
      </c>
      <c r="AM565">
        <v>0</v>
      </c>
      <c r="AN565">
        <v>0</v>
      </c>
      <c r="AO565">
        <v>0</v>
      </c>
      <c r="AP565">
        <v>0</v>
      </c>
    </row>
    <row r="566" spans="4:42" x14ac:dyDescent="0.45">
      <c r="D566">
        <v>2025</v>
      </c>
      <c r="E566">
        <v>11</v>
      </c>
      <c r="F566">
        <v>9180000</v>
      </c>
      <c r="G566">
        <v>763250.8</v>
      </c>
      <c r="H566">
        <v>477326.96</v>
      </c>
      <c r="I566">
        <v>227976.25</v>
      </c>
      <c r="J566">
        <v>29801.08</v>
      </c>
      <c r="K566">
        <v>64</v>
      </c>
      <c r="L566">
        <v>3</v>
      </c>
      <c r="M566">
        <v>63</v>
      </c>
      <c r="N566">
        <v>2</v>
      </c>
      <c r="O566">
        <v>15</v>
      </c>
      <c r="P566">
        <v>42180.6</v>
      </c>
      <c r="Q566">
        <v>116.64</v>
      </c>
      <c r="R566">
        <v>116.41</v>
      </c>
      <c r="S566">
        <v>0</v>
      </c>
      <c r="T566">
        <v>1</v>
      </c>
      <c r="U566">
        <v>0</v>
      </c>
      <c r="V566">
        <v>0</v>
      </c>
      <c r="W566">
        <v>0</v>
      </c>
      <c r="X566">
        <v>0</v>
      </c>
      <c r="Y566">
        <v>0</v>
      </c>
      <c r="Z566">
        <v>0</v>
      </c>
      <c r="AA566">
        <v>0</v>
      </c>
      <c r="AB566">
        <v>0</v>
      </c>
      <c r="AC566">
        <v>0</v>
      </c>
      <c r="AD566">
        <v>0</v>
      </c>
      <c r="AE566">
        <v>0</v>
      </c>
      <c r="AF566">
        <v>0</v>
      </c>
      <c r="AG566">
        <v>0</v>
      </c>
      <c r="AH566">
        <v>0</v>
      </c>
      <c r="AI566">
        <v>0</v>
      </c>
      <c r="AJ566">
        <v>1</v>
      </c>
      <c r="AK566">
        <v>0</v>
      </c>
      <c r="AL566">
        <v>0</v>
      </c>
      <c r="AM566">
        <v>0</v>
      </c>
      <c r="AN566">
        <v>0</v>
      </c>
      <c r="AO566">
        <v>0</v>
      </c>
      <c r="AP566">
        <v>0</v>
      </c>
    </row>
    <row r="567" spans="4:42" x14ac:dyDescent="0.45">
      <c r="D567">
        <v>2025</v>
      </c>
      <c r="E567">
        <v>11</v>
      </c>
      <c r="F567">
        <v>7115000</v>
      </c>
      <c r="G567">
        <v>619753.27</v>
      </c>
      <c r="H567">
        <v>322053.46000000002</v>
      </c>
      <c r="I567">
        <v>239859.32</v>
      </c>
      <c r="J567">
        <v>42712.5</v>
      </c>
      <c r="K567">
        <v>32</v>
      </c>
      <c r="L567">
        <v>4</v>
      </c>
      <c r="M567">
        <v>39</v>
      </c>
      <c r="N567">
        <v>3</v>
      </c>
      <c r="O567">
        <v>21</v>
      </c>
      <c r="P567">
        <v>54710.87</v>
      </c>
      <c r="Q567">
        <v>115.16</v>
      </c>
      <c r="R567">
        <v>117.42</v>
      </c>
      <c r="S567">
        <v>0</v>
      </c>
      <c r="T567">
        <v>1</v>
      </c>
      <c r="U567">
        <v>0</v>
      </c>
      <c r="V567">
        <v>0</v>
      </c>
      <c r="W567">
        <v>0</v>
      </c>
      <c r="X567">
        <v>0</v>
      </c>
      <c r="Y567">
        <v>0</v>
      </c>
      <c r="Z567">
        <v>0</v>
      </c>
      <c r="AA567">
        <v>0</v>
      </c>
      <c r="AB567">
        <v>0</v>
      </c>
      <c r="AC567">
        <v>0</v>
      </c>
      <c r="AD567">
        <v>0</v>
      </c>
      <c r="AE567">
        <v>0</v>
      </c>
      <c r="AF567">
        <v>0</v>
      </c>
      <c r="AG567">
        <v>0</v>
      </c>
      <c r="AH567">
        <v>1</v>
      </c>
      <c r="AI567">
        <v>0</v>
      </c>
      <c r="AJ567">
        <v>0</v>
      </c>
      <c r="AK567">
        <v>0</v>
      </c>
      <c r="AL567">
        <v>0</v>
      </c>
      <c r="AM567">
        <v>0</v>
      </c>
      <c r="AN567">
        <v>0</v>
      </c>
      <c r="AO567">
        <v>0</v>
      </c>
      <c r="AP567">
        <v>0</v>
      </c>
    </row>
    <row r="568" spans="4:42" x14ac:dyDescent="0.45">
      <c r="D568">
        <v>2025</v>
      </c>
      <c r="E568">
        <v>11</v>
      </c>
      <c r="F568">
        <v>25246000</v>
      </c>
      <c r="G568">
        <v>2074736.79</v>
      </c>
      <c r="H568">
        <v>1664118.93</v>
      </c>
      <c r="I568">
        <v>402437.03</v>
      </c>
      <c r="J568">
        <v>30605.63</v>
      </c>
      <c r="K568">
        <v>183</v>
      </c>
      <c r="L568">
        <v>11</v>
      </c>
      <c r="M568">
        <v>489</v>
      </c>
      <c r="N568">
        <v>7</v>
      </c>
      <c r="O568">
        <v>30</v>
      </c>
      <c r="P568">
        <v>403090.03</v>
      </c>
      <c r="Q568">
        <v>121.77</v>
      </c>
      <c r="R568">
        <v>117.03</v>
      </c>
      <c r="S568">
        <v>0</v>
      </c>
      <c r="T568">
        <v>1</v>
      </c>
      <c r="U568">
        <v>0</v>
      </c>
      <c r="V568">
        <v>0</v>
      </c>
      <c r="W568">
        <v>0</v>
      </c>
      <c r="X568">
        <v>0</v>
      </c>
      <c r="Y568">
        <v>0</v>
      </c>
      <c r="Z568">
        <v>0</v>
      </c>
      <c r="AA568">
        <v>0</v>
      </c>
      <c r="AB568">
        <v>0</v>
      </c>
      <c r="AC568">
        <v>0</v>
      </c>
      <c r="AD568">
        <v>0</v>
      </c>
      <c r="AE568">
        <v>0</v>
      </c>
      <c r="AF568">
        <v>1</v>
      </c>
      <c r="AG568">
        <v>0</v>
      </c>
      <c r="AH568">
        <v>0</v>
      </c>
      <c r="AI568">
        <v>0</v>
      </c>
      <c r="AJ568">
        <v>0</v>
      </c>
      <c r="AK568">
        <v>0</v>
      </c>
      <c r="AL568">
        <v>0</v>
      </c>
      <c r="AM568">
        <v>0</v>
      </c>
      <c r="AN568">
        <v>0</v>
      </c>
      <c r="AO568">
        <v>0</v>
      </c>
      <c r="AP568">
        <v>0</v>
      </c>
    </row>
    <row r="569" spans="4:42" x14ac:dyDescent="0.45">
      <c r="D569">
        <v>2025</v>
      </c>
      <c r="E569">
        <v>11</v>
      </c>
      <c r="F569">
        <v>15492000</v>
      </c>
      <c r="G569">
        <v>1215091.44</v>
      </c>
      <c r="H569">
        <v>659835.21</v>
      </c>
      <c r="I569">
        <v>464584.94</v>
      </c>
      <c r="J569">
        <v>52625.48</v>
      </c>
      <c r="K569">
        <v>84</v>
      </c>
      <c r="L569">
        <v>6</v>
      </c>
      <c r="M569">
        <v>50</v>
      </c>
      <c r="N569">
        <v>5</v>
      </c>
      <c r="O569">
        <v>23</v>
      </c>
      <c r="P569">
        <v>174335</v>
      </c>
      <c r="Q569">
        <v>116.21</v>
      </c>
      <c r="R569">
        <v>117.45</v>
      </c>
      <c r="S569">
        <v>0</v>
      </c>
      <c r="T569">
        <v>1</v>
      </c>
      <c r="U569">
        <v>0</v>
      </c>
      <c r="V569">
        <v>0</v>
      </c>
      <c r="W569">
        <v>0</v>
      </c>
      <c r="X569">
        <v>0</v>
      </c>
      <c r="Y569">
        <v>0</v>
      </c>
      <c r="Z569">
        <v>0</v>
      </c>
      <c r="AA569">
        <v>0</v>
      </c>
      <c r="AB569">
        <v>0</v>
      </c>
      <c r="AC569">
        <v>0</v>
      </c>
      <c r="AD569">
        <v>0</v>
      </c>
      <c r="AE569">
        <v>0</v>
      </c>
      <c r="AF569">
        <v>0</v>
      </c>
      <c r="AG569">
        <v>0</v>
      </c>
      <c r="AH569">
        <v>0</v>
      </c>
      <c r="AI569">
        <v>0</v>
      </c>
      <c r="AJ569">
        <v>0</v>
      </c>
      <c r="AK569">
        <v>0</v>
      </c>
      <c r="AL569">
        <v>0</v>
      </c>
      <c r="AM569">
        <v>0</v>
      </c>
      <c r="AN569">
        <v>1</v>
      </c>
      <c r="AO569">
        <v>0</v>
      </c>
      <c r="AP569">
        <v>0</v>
      </c>
    </row>
    <row r="570" spans="4:42" x14ac:dyDescent="0.45">
      <c r="D570">
        <v>2025</v>
      </c>
      <c r="E570">
        <v>11</v>
      </c>
      <c r="F570">
        <v>4820000</v>
      </c>
      <c r="G570">
        <v>400743.4</v>
      </c>
      <c r="H570">
        <v>329399.09999999998</v>
      </c>
      <c r="I570">
        <v>70789.36</v>
      </c>
      <c r="J570">
        <v>4400.43</v>
      </c>
      <c r="K570">
        <v>34</v>
      </c>
      <c r="L570">
        <v>3</v>
      </c>
      <c r="M570">
        <v>39</v>
      </c>
      <c r="N570">
        <v>3</v>
      </c>
      <c r="O570">
        <v>14</v>
      </c>
      <c r="P570">
        <v>32821.01</v>
      </c>
      <c r="Q570">
        <v>120.27</v>
      </c>
      <c r="R570">
        <v>118.32</v>
      </c>
      <c r="S570">
        <v>0</v>
      </c>
      <c r="T570">
        <v>1</v>
      </c>
      <c r="U570">
        <v>0</v>
      </c>
      <c r="V570">
        <v>0</v>
      </c>
      <c r="W570">
        <v>0</v>
      </c>
      <c r="X570">
        <v>0</v>
      </c>
      <c r="Y570">
        <v>0</v>
      </c>
      <c r="Z570">
        <v>0</v>
      </c>
      <c r="AA570">
        <v>0</v>
      </c>
      <c r="AB570">
        <v>0</v>
      </c>
      <c r="AC570">
        <v>0</v>
      </c>
      <c r="AD570">
        <v>0</v>
      </c>
      <c r="AE570">
        <v>0</v>
      </c>
      <c r="AF570">
        <v>0</v>
      </c>
      <c r="AG570">
        <v>0</v>
      </c>
      <c r="AH570">
        <v>0</v>
      </c>
      <c r="AI570">
        <v>0</v>
      </c>
      <c r="AJ570">
        <v>0</v>
      </c>
      <c r="AK570">
        <v>0</v>
      </c>
      <c r="AL570">
        <v>1</v>
      </c>
      <c r="AM570">
        <v>0</v>
      </c>
      <c r="AN570">
        <v>0</v>
      </c>
      <c r="AO570">
        <v>0</v>
      </c>
      <c r="AP570">
        <v>0</v>
      </c>
    </row>
    <row r="571" spans="4:42" x14ac:dyDescent="0.45">
      <c r="D571">
        <v>2025</v>
      </c>
      <c r="E571">
        <v>11</v>
      </c>
      <c r="F571">
        <v>21803000</v>
      </c>
      <c r="G571">
        <v>1763883.8</v>
      </c>
      <c r="H571">
        <v>872051.09</v>
      </c>
      <c r="I571">
        <v>771083.9</v>
      </c>
      <c r="J571">
        <v>103756.86</v>
      </c>
      <c r="K571">
        <v>101</v>
      </c>
      <c r="L571">
        <v>6</v>
      </c>
      <c r="M571">
        <v>368</v>
      </c>
      <c r="N571">
        <v>7</v>
      </c>
      <c r="O571">
        <v>28</v>
      </c>
      <c r="P571">
        <v>338505.78</v>
      </c>
      <c r="Q571">
        <v>118.42</v>
      </c>
      <c r="R571">
        <v>117.83</v>
      </c>
      <c r="S571">
        <v>0</v>
      </c>
      <c r="T571">
        <v>1</v>
      </c>
      <c r="U571">
        <v>0</v>
      </c>
      <c r="V571">
        <v>0</v>
      </c>
      <c r="W571">
        <v>0</v>
      </c>
      <c r="X571">
        <v>0</v>
      </c>
      <c r="Y571">
        <v>0</v>
      </c>
      <c r="Z571">
        <v>0</v>
      </c>
      <c r="AA571">
        <v>0</v>
      </c>
      <c r="AB571">
        <v>0</v>
      </c>
      <c r="AC571">
        <v>0</v>
      </c>
      <c r="AD571">
        <v>0</v>
      </c>
      <c r="AE571">
        <v>0</v>
      </c>
      <c r="AF571">
        <v>0</v>
      </c>
      <c r="AG571">
        <v>0</v>
      </c>
      <c r="AH571">
        <v>0</v>
      </c>
      <c r="AI571">
        <v>0</v>
      </c>
      <c r="AJ571">
        <v>0</v>
      </c>
      <c r="AK571">
        <v>0</v>
      </c>
      <c r="AL571">
        <v>0</v>
      </c>
      <c r="AM571">
        <v>0</v>
      </c>
      <c r="AN571">
        <v>0</v>
      </c>
      <c r="AO571">
        <v>0</v>
      </c>
      <c r="AP571">
        <v>1</v>
      </c>
    </row>
    <row r="572" spans="4:42" x14ac:dyDescent="0.45">
      <c r="D572">
        <v>2025</v>
      </c>
      <c r="E572">
        <v>11</v>
      </c>
      <c r="F572">
        <v>28688000</v>
      </c>
      <c r="G572">
        <v>2529294.6800000002</v>
      </c>
      <c r="H572">
        <v>1962887.77</v>
      </c>
      <c r="I572">
        <v>610908.06999999995</v>
      </c>
      <c r="J572">
        <v>22597.31</v>
      </c>
      <c r="K572">
        <v>211</v>
      </c>
      <c r="L572">
        <v>17</v>
      </c>
      <c r="M572">
        <v>1092</v>
      </c>
      <c r="N572">
        <v>8</v>
      </c>
      <c r="O572">
        <v>27</v>
      </c>
      <c r="P572">
        <v>485974.16</v>
      </c>
      <c r="Q572">
        <v>117.05</v>
      </c>
      <c r="R572">
        <v>117.95</v>
      </c>
      <c r="S572">
        <v>0</v>
      </c>
      <c r="T572">
        <v>1</v>
      </c>
      <c r="U572">
        <v>0</v>
      </c>
      <c r="V572">
        <v>0</v>
      </c>
      <c r="W572">
        <v>0</v>
      </c>
      <c r="X572">
        <v>0</v>
      </c>
      <c r="Y572">
        <v>0</v>
      </c>
      <c r="Z572">
        <v>0</v>
      </c>
      <c r="AA572">
        <v>0</v>
      </c>
      <c r="AB572">
        <v>0</v>
      </c>
      <c r="AC572">
        <v>0</v>
      </c>
      <c r="AD572">
        <v>0</v>
      </c>
      <c r="AE572">
        <v>0</v>
      </c>
      <c r="AF572">
        <v>0</v>
      </c>
      <c r="AG572">
        <v>0</v>
      </c>
      <c r="AH572">
        <v>0</v>
      </c>
      <c r="AI572">
        <v>0</v>
      </c>
      <c r="AJ572">
        <v>0</v>
      </c>
      <c r="AK572">
        <v>0</v>
      </c>
      <c r="AL572">
        <v>0</v>
      </c>
      <c r="AM572">
        <v>1</v>
      </c>
      <c r="AN572">
        <v>0</v>
      </c>
      <c r="AO572">
        <v>0</v>
      </c>
      <c r="AP572">
        <v>0</v>
      </c>
    </row>
    <row r="573" spans="4:42" x14ac:dyDescent="0.45">
      <c r="D573">
        <v>2025</v>
      </c>
      <c r="E573">
        <v>11</v>
      </c>
      <c r="F573">
        <v>8377000</v>
      </c>
      <c r="G573">
        <v>646111.49</v>
      </c>
      <c r="H573">
        <v>352454.73</v>
      </c>
      <c r="I573">
        <v>269761.57</v>
      </c>
      <c r="J573">
        <v>44977.34</v>
      </c>
      <c r="K573">
        <v>43</v>
      </c>
      <c r="L573">
        <v>7</v>
      </c>
      <c r="M573">
        <v>37</v>
      </c>
      <c r="N573">
        <v>3</v>
      </c>
      <c r="O573">
        <v>20</v>
      </c>
      <c r="P573">
        <v>84256.97</v>
      </c>
      <c r="Q573">
        <v>115.5</v>
      </c>
      <c r="R573">
        <v>118.63</v>
      </c>
      <c r="S573">
        <v>0</v>
      </c>
      <c r="T573">
        <v>1</v>
      </c>
      <c r="U573">
        <v>0</v>
      </c>
      <c r="V573">
        <v>0</v>
      </c>
      <c r="W573">
        <v>0</v>
      </c>
      <c r="X573">
        <v>0</v>
      </c>
      <c r="Y573">
        <v>0</v>
      </c>
      <c r="Z573">
        <v>0</v>
      </c>
      <c r="AA573">
        <v>0</v>
      </c>
      <c r="AB573">
        <v>0</v>
      </c>
      <c r="AC573">
        <v>0</v>
      </c>
      <c r="AD573">
        <v>0</v>
      </c>
      <c r="AE573">
        <v>0</v>
      </c>
      <c r="AF573">
        <v>0</v>
      </c>
      <c r="AG573">
        <v>1</v>
      </c>
      <c r="AH573">
        <v>0</v>
      </c>
      <c r="AI573">
        <v>0</v>
      </c>
      <c r="AJ573">
        <v>0</v>
      </c>
      <c r="AK573">
        <v>0</v>
      </c>
      <c r="AL573">
        <v>0</v>
      </c>
      <c r="AM573">
        <v>0</v>
      </c>
      <c r="AN573">
        <v>0</v>
      </c>
      <c r="AO573">
        <v>0</v>
      </c>
      <c r="AP573">
        <v>0</v>
      </c>
    </row>
    <row r="574" spans="4:42" x14ac:dyDescent="0.45">
      <c r="D574">
        <v>2025</v>
      </c>
      <c r="E574">
        <v>12</v>
      </c>
      <c r="F574">
        <v>4820000</v>
      </c>
      <c r="G574">
        <v>394225</v>
      </c>
      <c r="H574">
        <v>323739.52000000002</v>
      </c>
      <c r="I574">
        <v>67377.320000000007</v>
      </c>
      <c r="J574">
        <v>2805.71</v>
      </c>
      <c r="K574">
        <v>33</v>
      </c>
      <c r="L574">
        <v>4</v>
      </c>
      <c r="M574">
        <v>48</v>
      </c>
      <c r="N574">
        <v>3</v>
      </c>
      <c r="O574">
        <v>19</v>
      </c>
      <c r="P574">
        <v>43193.120000000003</v>
      </c>
      <c r="Q574">
        <v>120.13</v>
      </c>
      <c r="R574">
        <v>117.62</v>
      </c>
      <c r="S574">
        <v>0</v>
      </c>
      <c r="T574">
        <v>0</v>
      </c>
      <c r="U574">
        <v>0</v>
      </c>
      <c r="V574">
        <v>0</v>
      </c>
      <c r="W574">
        <v>0</v>
      </c>
      <c r="X574">
        <v>0</v>
      </c>
      <c r="Y574">
        <v>0</v>
      </c>
      <c r="Z574">
        <v>0</v>
      </c>
      <c r="AA574">
        <v>0</v>
      </c>
      <c r="AB574">
        <v>0</v>
      </c>
      <c r="AC574">
        <v>1</v>
      </c>
      <c r="AD574">
        <v>0</v>
      </c>
      <c r="AE574">
        <v>0</v>
      </c>
      <c r="AF574">
        <v>0</v>
      </c>
      <c r="AG574">
        <v>0</v>
      </c>
      <c r="AH574">
        <v>0</v>
      </c>
      <c r="AI574">
        <v>0</v>
      </c>
      <c r="AJ574">
        <v>0</v>
      </c>
      <c r="AK574">
        <v>0</v>
      </c>
      <c r="AL574">
        <v>1</v>
      </c>
      <c r="AM574">
        <v>0</v>
      </c>
      <c r="AN574">
        <v>0</v>
      </c>
      <c r="AO574">
        <v>0</v>
      </c>
      <c r="AP574">
        <v>0</v>
      </c>
    </row>
    <row r="575" spans="4:42" x14ac:dyDescent="0.45">
      <c r="D575">
        <v>2025</v>
      </c>
      <c r="E575">
        <v>12</v>
      </c>
      <c r="F575">
        <v>28688000</v>
      </c>
      <c r="G575">
        <v>2530048.5</v>
      </c>
      <c r="H575">
        <v>1892707.42</v>
      </c>
      <c r="I575">
        <v>497644.56</v>
      </c>
      <c r="J575">
        <v>87171.01</v>
      </c>
      <c r="K575">
        <v>212</v>
      </c>
      <c r="L575">
        <v>17</v>
      </c>
      <c r="M575">
        <v>887</v>
      </c>
      <c r="N575">
        <v>10</v>
      </c>
      <c r="O575">
        <v>41</v>
      </c>
      <c r="P575">
        <v>816055.17</v>
      </c>
      <c r="Q575">
        <v>113.38</v>
      </c>
      <c r="R575">
        <v>116.96</v>
      </c>
      <c r="S575">
        <v>0</v>
      </c>
      <c r="T575">
        <v>0</v>
      </c>
      <c r="U575">
        <v>0</v>
      </c>
      <c r="V575">
        <v>0</v>
      </c>
      <c r="W575">
        <v>0</v>
      </c>
      <c r="X575">
        <v>0</v>
      </c>
      <c r="Y575">
        <v>0</v>
      </c>
      <c r="Z575">
        <v>0</v>
      </c>
      <c r="AA575">
        <v>0</v>
      </c>
      <c r="AB575">
        <v>0</v>
      </c>
      <c r="AC575">
        <v>1</v>
      </c>
      <c r="AD575">
        <v>0</v>
      </c>
      <c r="AE575">
        <v>0</v>
      </c>
      <c r="AF575">
        <v>0</v>
      </c>
      <c r="AG575">
        <v>0</v>
      </c>
      <c r="AH575">
        <v>0</v>
      </c>
      <c r="AI575">
        <v>0</v>
      </c>
      <c r="AJ575">
        <v>0</v>
      </c>
      <c r="AK575">
        <v>0</v>
      </c>
      <c r="AL575">
        <v>0</v>
      </c>
      <c r="AM575">
        <v>1</v>
      </c>
      <c r="AN575">
        <v>0</v>
      </c>
      <c r="AO575">
        <v>0</v>
      </c>
      <c r="AP575">
        <v>0</v>
      </c>
    </row>
    <row r="576" spans="4:42" x14ac:dyDescent="0.45">
      <c r="D576">
        <v>2025</v>
      </c>
      <c r="E576">
        <v>12</v>
      </c>
      <c r="F576">
        <v>5508000</v>
      </c>
      <c r="G576">
        <v>477981.56</v>
      </c>
      <c r="H576">
        <v>393461.71</v>
      </c>
      <c r="I576">
        <v>77558.05</v>
      </c>
      <c r="J576">
        <v>8293.5</v>
      </c>
      <c r="K576">
        <v>38</v>
      </c>
      <c r="L576">
        <v>5</v>
      </c>
      <c r="M576">
        <v>0</v>
      </c>
      <c r="N576">
        <v>0</v>
      </c>
      <c r="O576">
        <v>10</v>
      </c>
      <c r="P576">
        <v>8425.2199999999993</v>
      </c>
      <c r="Q576">
        <v>119.85</v>
      </c>
      <c r="R576">
        <v>117.61</v>
      </c>
      <c r="S576">
        <v>0</v>
      </c>
      <c r="T576">
        <v>0</v>
      </c>
      <c r="U576">
        <v>0</v>
      </c>
      <c r="V576">
        <v>0</v>
      </c>
      <c r="W576">
        <v>0</v>
      </c>
      <c r="X576">
        <v>0</v>
      </c>
      <c r="Y576">
        <v>0</v>
      </c>
      <c r="Z576">
        <v>0</v>
      </c>
      <c r="AA576">
        <v>0</v>
      </c>
      <c r="AB576">
        <v>0</v>
      </c>
      <c r="AC576">
        <v>1</v>
      </c>
      <c r="AD576">
        <v>1</v>
      </c>
      <c r="AE576">
        <v>0</v>
      </c>
      <c r="AF576">
        <v>0</v>
      </c>
      <c r="AG576">
        <v>0</v>
      </c>
      <c r="AH576">
        <v>0</v>
      </c>
      <c r="AI576">
        <v>0</v>
      </c>
      <c r="AJ576">
        <v>0</v>
      </c>
      <c r="AK576">
        <v>0</v>
      </c>
      <c r="AL576">
        <v>0</v>
      </c>
      <c r="AM576">
        <v>0</v>
      </c>
      <c r="AN576">
        <v>0</v>
      </c>
      <c r="AO576">
        <v>0</v>
      </c>
      <c r="AP576">
        <v>0</v>
      </c>
    </row>
    <row r="577" spans="4:42" x14ac:dyDescent="0.45">
      <c r="D577">
        <v>2025</v>
      </c>
      <c r="E577">
        <v>12</v>
      </c>
      <c r="F577">
        <v>15492000</v>
      </c>
      <c r="G577">
        <v>1373192.83</v>
      </c>
      <c r="H577">
        <v>692358.12</v>
      </c>
      <c r="I577">
        <v>629594.29</v>
      </c>
      <c r="J577">
        <v>58529.91</v>
      </c>
      <c r="K577">
        <v>84</v>
      </c>
      <c r="L577">
        <v>3</v>
      </c>
      <c r="M577">
        <v>85</v>
      </c>
      <c r="N577">
        <v>1</v>
      </c>
      <c r="O577">
        <v>13</v>
      </c>
      <c r="P577">
        <v>64791.97</v>
      </c>
      <c r="Q577">
        <v>119.72</v>
      </c>
      <c r="R577">
        <v>117.3</v>
      </c>
      <c r="S577">
        <v>0</v>
      </c>
      <c r="T577">
        <v>0</v>
      </c>
      <c r="U577">
        <v>0</v>
      </c>
      <c r="V577">
        <v>0</v>
      </c>
      <c r="W577">
        <v>0</v>
      </c>
      <c r="X577">
        <v>0</v>
      </c>
      <c r="Y577">
        <v>0</v>
      </c>
      <c r="Z577">
        <v>0</v>
      </c>
      <c r="AA577">
        <v>0</v>
      </c>
      <c r="AB577">
        <v>0</v>
      </c>
      <c r="AC577">
        <v>1</v>
      </c>
      <c r="AD577">
        <v>0</v>
      </c>
      <c r="AE577">
        <v>0</v>
      </c>
      <c r="AF577">
        <v>0</v>
      </c>
      <c r="AG577">
        <v>0</v>
      </c>
      <c r="AH577">
        <v>0</v>
      </c>
      <c r="AI577">
        <v>0</v>
      </c>
      <c r="AJ577">
        <v>0</v>
      </c>
      <c r="AK577">
        <v>0</v>
      </c>
      <c r="AL577">
        <v>0</v>
      </c>
      <c r="AM577">
        <v>0</v>
      </c>
      <c r="AN577">
        <v>1</v>
      </c>
      <c r="AO577">
        <v>0</v>
      </c>
      <c r="AP577">
        <v>0</v>
      </c>
    </row>
    <row r="578" spans="4:42" x14ac:dyDescent="0.45">
      <c r="D578">
        <v>2025</v>
      </c>
      <c r="E578">
        <v>12</v>
      </c>
      <c r="F578">
        <v>21803000</v>
      </c>
      <c r="G578">
        <v>1913355.13</v>
      </c>
      <c r="H578">
        <v>820274.14</v>
      </c>
      <c r="I578">
        <v>1003695.27</v>
      </c>
      <c r="J578">
        <v>140783.20000000001</v>
      </c>
      <c r="K578">
        <v>96</v>
      </c>
      <c r="L578">
        <v>9</v>
      </c>
      <c r="M578">
        <v>358</v>
      </c>
      <c r="N578">
        <v>6</v>
      </c>
      <c r="O578">
        <v>27</v>
      </c>
      <c r="P578">
        <v>243089.59</v>
      </c>
      <c r="Q578">
        <v>119.42</v>
      </c>
      <c r="R578">
        <v>118.27</v>
      </c>
      <c r="S578">
        <v>0</v>
      </c>
      <c r="T578">
        <v>0</v>
      </c>
      <c r="U578">
        <v>0</v>
      </c>
      <c r="V578">
        <v>0</v>
      </c>
      <c r="W578">
        <v>0</v>
      </c>
      <c r="X578">
        <v>0</v>
      </c>
      <c r="Y578">
        <v>0</v>
      </c>
      <c r="Z578">
        <v>0</v>
      </c>
      <c r="AA578">
        <v>0</v>
      </c>
      <c r="AB578">
        <v>0</v>
      </c>
      <c r="AC578">
        <v>1</v>
      </c>
      <c r="AD578">
        <v>0</v>
      </c>
      <c r="AE578">
        <v>0</v>
      </c>
      <c r="AF578">
        <v>0</v>
      </c>
      <c r="AG578">
        <v>0</v>
      </c>
      <c r="AH578">
        <v>0</v>
      </c>
      <c r="AI578">
        <v>0</v>
      </c>
      <c r="AJ578">
        <v>0</v>
      </c>
      <c r="AK578">
        <v>0</v>
      </c>
      <c r="AL578">
        <v>0</v>
      </c>
      <c r="AM578">
        <v>0</v>
      </c>
      <c r="AN578">
        <v>0</v>
      </c>
      <c r="AO578">
        <v>0</v>
      </c>
      <c r="AP578">
        <v>1</v>
      </c>
    </row>
    <row r="579" spans="4:42" x14ac:dyDescent="0.45">
      <c r="D579">
        <v>2025</v>
      </c>
      <c r="E579">
        <v>12</v>
      </c>
      <c r="F579">
        <v>4016000</v>
      </c>
      <c r="G579">
        <v>353231.77</v>
      </c>
      <c r="H579">
        <v>305657.62</v>
      </c>
      <c r="I579">
        <v>44758.11</v>
      </c>
      <c r="J579">
        <v>4562.9399999999996</v>
      </c>
      <c r="K579">
        <v>28</v>
      </c>
      <c r="L579">
        <v>0</v>
      </c>
      <c r="M579">
        <v>32</v>
      </c>
      <c r="N579">
        <v>0</v>
      </c>
      <c r="O579">
        <v>4</v>
      </c>
      <c r="P579">
        <v>3096.57</v>
      </c>
      <c r="Q579">
        <v>115.13</v>
      </c>
      <c r="R579">
        <v>117.75</v>
      </c>
      <c r="S579">
        <v>0</v>
      </c>
      <c r="T579">
        <v>0</v>
      </c>
      <c r="U579">
        <v>0</v>
      </c>
      <c r="V579">
        <v>0</v>
      </c>
      <c r="W579">
        <v>0</v>
      </c>
      <c r="X579">
        <v>0</v>
      </c>
      <c r="Y579">
        <v>0</v>
      </c>
      <c r="Z579">
        <v>0</v>
      </c>
      <c r="AA579">
        <v>0</v>
      </c>
      <c r="AB579">
        <v>0</v>
      </c>
      <c r="AC579">
        <v>1</v>
      </c>
      <c r="AD579">
        <v>0</v>
      </c>
      <c r="AE579">
        <v>0</v>
      </c>
      <c r="AF579">
        <v>0</v>
      </c>
      <c r="AG579">
        <v>0</v>
      </c>
      <c r="AH579">
        <v>0</v>
      </c>
      <c r="AI579">
        <v>0</v>
      </c>
      <c r="AJ579">
        <v>0</v>
      </c>
      <c r="AK579">
        <v>0</v>
      </c>
      <c r="AL579">
        <v>0</v>
      </c>
      <c r="AM579">
        <v>0</v>
      </c>
      <c r="AN579">
        <v>0</v>
      </c>
      <c r="AO579">
        <v>0</v>
      </c>
      <c r="AP579">
        <v>0</v>
      </c>
    </row>
    <row r="580" spans="4:42" x14ac:dyDescent="0.45">
      <c r="D580">
        <v>2025</v>
      </c>
      <c r="E580">
        <v>12</v>
      </c>
      <c r="F580">
        <v>25246000</v>
      </c>
      <c r="G580">
        <v>2271174.65</v>
      </c>
      <c r="H580">
        <v>1788446.52</v>
      </c>
      <c r="I580">
        <v>450017.06</v>
      </c>
      <c r="J580">
        <v>51609.78</v>
      </c>
      <c r="K580">
        <v>183</v>
      </c>
      <c r="L580">
        <v>13</v>
      </c>
      <c r="M580">
        <v>759</v>
      </c>
      <c r="N580">
        <v>6</v>
      </c>
      <c r="O580">
        <v>27</v>
      </c>
      <c r="P580">
        <v>366885.95</v>
      </c>
      <c r="Q580">
        <v>118.59</v>
      </c>
      <c r="R580">
        <v>117.6</v>
      </c>
      <c r="S580">
        <v>0</v>
      </c>
      <c r="T580">
        <v>0</v>
      </c>
      <c r="U580">
        <v>0</v>
      </c>
      <c r="V580">
        <v>0</v>
      </c>
      <c r="W580">
        <v>0</v>
      </c>
      <c r="X580">
        <v>0</v>
      </c>
      <c r="Y580">
        <v>0</v>
      </c>
      <c r="Z580">
        <v>0</v>
      </c>
      <c r="AA580">
        <v>0</v>
      </c>
      <c r="AB580">
        <v>0</v>
      </c>
      <c r="AC580">
        <v>1</v>
      </c>
      <c r="AD580">
        <v>0</v>
      </c>
      <c r="AE580">
        <v>0</v>
      </c>
      <c r="AF580">
        <v>1</v>
      </c>
      <c r="AG580">
        <v>0</v>
      </c>
      <c r="AH580">
        <v>0</v>
      </c>
      <c r="AI580">
        <v>0</v>
      </c>
      <c r="AJ580">
        <v>0</v>
      </c>
      <c r="AK580">
        <v>0</v>
      </c>
      <c r="AL580">
        <v>0</v>
      </c>
      <c r="AM580">
        <v>0</v>
      </c>
      <c r="AN580">
        <v>0</v>
      </c>
      <c r="AO580">
        <v>0</v>
      </c>
      <c r="AP580">
        <v>0</v>
      </c>
    </row>
    <row r="581" spans="4:42" x14ac:dyDescent="0.45">
      <c r="D581">
        <v>2025</v>
      </c>
      <c r="E581">
        <v>12</v>
      </c>
      <c r="F581">
        <v>8377000</v>
      </c>
      <c r="G581">
        <v>699913.93</v>
      </c>
      <c r="H581">
        <v>359180.69</v>
      </c>
      <c r="I581">
        <v>299040.18</v>
      </c>
      <c r="J581">
        <v>37131.019999999997</v>
      </c>
      <c r="K581">
        <v>44</v>
      </c>
      <c r="L581">
        <v>3</v>
      </c>
      <c r="M581">
        <v>26</v>
      </c>
      <c r="N581">
        <v>2</v>
      </c>
      <c r="O581">
        <v>19</v>
      </c>
      <c r="P581">
        <v>45467.79</v>
      </c>
      <c r="Q581">
        <v>121.19</v>
      </c>
      <c r="R581">
        <v>117.82</v>
      </c>
      <c r="S581">
        <v>0</v>
      </c>
      <c r="T581">
        <v>0</v>
      </c>
      <c r="U581">
        <v>0</v>
      </c>
      <c r="V581">
        <v>0</v>
      </c>
      <c r="W581">
        <v>0</v>
      </c>
      <c r="X581">
        <v>0</v>
      </c>
      <c r="Y581">
        <v>0</v>
      </c>
      <c r="Z581">
        <v>0</v>
      </c>
      <c r="AA581">
        <v>0</v>
      </c>
      <c r="AB581">
        <v>0</v>
      </c>
      <c r="AC581">
        <v>1</v>
      </c>
      <c r="AD581">
        <v>0</v>
      </c>
      <c r="AE581">
        <v>0</v>
      </c>
      <c r="AF581">
        <v>0</v>
      </c>
      <c r="AG581">
        <v>1</v>
      </c>
      <c r="AH581">
        <v>0</v>
      </c>
      <c r="AI581">
        <v>0</v>
      </c>
      <c r="AJ581">
        <v>0</v>
      </c>
      <c r="AK581">
        <v>0</v>
      </c>
      <c r="AL581">
        <v>0</v>
      </c>
      <c r="AM581">
        <v>0</v>
      </c>
      <c r="AN581">
        <v>0</v>
      </c>
      <c r="AO581">
        <v>0</v>
      </c>
      <c r="AP581">
        <v>0</v>
      </c>
    </row>
    <row r="582" spans="4:42" x14ac:dyDescent="0.45">
      <c r="D582">
        <v>2025</v>
      </c>
      <c r="E582">
        <v>12</v>
      </c>
      <c r="F582">
        <v>9180000</v>
      </c>
      <c r="G582">
        <v>742381.08</v>
      </c>
      <c r="H582">
        <v>475909.42</v>
      </c>
      <c r="I582">
        <v>238808.18</v>
      </c>
      <c r="J582">
        <v>16513.150000000001</v>
      </c>
      <c r="K582">
        <v>65</v>
      </c>
      <c r="L582">
        <v>7</v>
      </c>
      <c r="M582">
        <v>92</v>
      </c>
      <c r="N582">
        <v>3</v>
      </c>
      <c r="O582">
        <v>18</v>
      </c>
      <c r="P582">
        <v>85292.17</v>
      </c>
      <c r="Q582">
        <v>118.35</v>
      </c>
      <c r="R582">
        <v>118.55</v>
      </c>
      <c r="S582">
        <v>0</v>
      </c>
      <c r="T582">
        <v>0</v>
      </c>
      <c r="U582">
        <v>0</v>
      </c>
      <c r="V582">
        <v>0</v>
      </c>
      <c r="W582">
        <v>0</v>
      </c>
      <c r="X582">
        <v>0</v>
      </c>
      <c r="Y582">
        <v>0</v>
      </c>
      <c r="Z582">
        <v>0</v>
      </c>
      <c r="AA582">
        <v>0</v>
      </c>
      <c r="AB582">
        <v>0</v>
      </c>
      <c r="AC582">
        <v>1</v>
      </c>
      <c r="AD582">
        <v>0</v>
      </c>
      <c r="AE582">
        <v>0</v>
      </c>
      <c r="AF582">
        <v>0</v>
      </c>
      <c r="AG582">
        <v>0</v>
      </c>
      <c r="AH582">
        <v>0</v>
      </c>
      <c r="AI582">
        <v>0</v>
      </c>
      <c r="AJ582">
        <v>1</v>
      </c>
      <c r="AK582">
        <v>0</v>
      </c>
      <c r="AL582">
        <v>0</v>
      </c>
      <c r="AM582">
        <v>0</v>
      </c>
      <c r="AN582">
        <v>0</v>
      </c>
      <c r="AO582">
        <v>0</v>
      </c>
      <c r="AP582">
        <v>0</v>
      </c>
    </row>
    <row r="583" spans="4:42" x14ac:dyDescent="0.45">
      <c r="D583">
        <v>2025</v>
      </c>
      <c r="E583">
        <v>12</v>
      </c>
      <c r="F583">
        <v>7115000</v>
      </c>
      <c r="G583">
        <v>601904.48</v>
      </c>
      <c r="H583">
        <v>294584.81</v>
      </c>
      <c r="I583">
        <v>292108.95</v>
      </c>
      <c r="J583">
        <v>11274.36</v>
      </c>
      <c r="K583">
        <v>31</v>
      </c>
      <c r="L583">
        <v>4</v>
      </c>
      <c r="M583">
        <v>34</v>
      </c>
      <c r="N583">
        <v>5</v>
      </c>
      <c r="O583">
        <v>13</v>
      </c>
      <c r="P583">
        <v>69490.62</v>
      </c>
      <c r="Q583">
        <v>120.44</v>
      </c>
      <c r="R583">
        <v>117.93</v>
      </c>
      <c r="S583">
        <v>0</v>
      </c>
      <c r="T583">
        <v>0</v>
      </c>
      <c r="U583">
        <v>0</v>
      </c>
      <c r="V583">
        <v>0</v>
      </c>
      <c r="W583">
        <v>0</v>
      </c>
      <c r="X583">
        <v>0</v>
      </c>
      <c r="Y583">
        <v>0</v>
      </c>
      <c r="Z583">
        <v>0</v>
      </c>
      <c r="AA583">
        <v>0</v>
      </c>
      <c r="AB583">
        <v>0</v>
      </c>
      <c r="AC583">
        <v>1</v>
      </c>
      <c r="AD583">
        <v>0</v>
      </c>
      <c r="AE583">
        <v>0</v>
      </c>
      <c r="AF583">
        <v>0</v>
      </c>
      <c r="AG583">
        <v>0</v>
      </c>
      <c r="AH583">
        <v>1</v>
      </c>
      <c r="AI583">
        <v>0</v>
      </c>
      <c r="AJ583">
        <v>0</v>
      </c>
      <c r="AK583">
        <v>0</v>
      </c>
      <c r="AL583">
        <v>0</v>
      </c>
      <c r="AM583">
        <v>0</v>
      </c>
      <c r="AN583">
        <v>0</v>
      </c>
      <c r="AO583">
        <v>0</v>
      </c>
      <c r="AP583">
        <v>0</v>
      </c>
    </row>
    <row r="584" spans="4:42" x14ac:dyDescent="0.45">
      <c r="D584">
        <v>2026</v>
      </c>
      <c r="E584">
        <v>1</v>
      </c>
      <c r="F584">
        <v>9501000</v>
      </c>
      <c r="G584">
        <v>797553.43</v>
      </c>
      <c r="H584">
        <v>518000.01</v>
      </c>
      <c r="I584">
        <v>252316.14</v>
      </c>
      <c r="J584">
        <v>39650.53</v>
      </c>
      <c r="K584">
        <v>67</v>
      </c>
      <c r="L584">
        <v>5</v>
      </c>
      <c r="M584">
        <v>37</v>
      </c>
      <c r="N584">
        <v>2</v>
      </c>
      <c r="O584">
        <v>15</v>
      </c>
      <c r="P584">
        <v>62572.83</v>
      </c>
      <c r="Q584">
        <v>123.7</v>
      </c>
      <c r="R584">
        <v>118.19</v>
      </c>
      <c r="S584">
        <v>0</v>
      </c>
      <c r="T584">
        <v>0</v>
      </c>
      <c r="U584">
        <v>0</v>
      </c>
      <c r="V584">
        <v>0</v>
      </c>
      <c r="W584">
        <v>0</v>
      </c>
      <c r="X584">
        <v>0</v>
      </c>
      <c r="Y584">
        <v>0</v>
      </c>
      <c r="Z584">
        <v>0</v>
      </c>
      <c r="AA584">
        <v>0</v>
      </c>
      <c r="AB584">
        <v>0</v>
      </c>
      <c r="AC584">
        <v>0</v>
      </c>
      <c r="AD584">
        <v>0</v>
      </c>
      <c r="AE584">
        <v>0</v>
      </c>
      <c r="AF584">
        <v>0</v>
      </c>
      <c r="AG584">
        <v>0</v>
      </c>
      <c r="AH584">
        <v>0</v>
      </c>
      <c r="AI584">
        <v>0</v>
      </c>
      <c r="AJ584">
        <v>1</v>
      </c>
      <c r="AK584">
        <v>0</v>
      </c>
      <c r="AL584">
        <v>0</v>
      </c>
      <c r="AM584">
        <v>0</v>
      </c>
      <c r="AN584">
        <v>0</v>
      </c>
      <c r="AO584">
        <v>0</v>
      </c>
      <c r="AP584">
        <v>0</v>
      </c>
    </row>
    <row r="585" spans="4:42" x14ac:dyDescent="0.45">
      <c r="D585">
        <v>2026</v>
      </c>
      <c r="E585">
        <v>1</v>
      </c>
      <c r="F585">
        <v>16034000</v>
      </c>
      <c r="G585">
        <v>1456160.56</v>
      </c>
      <c r="H585">
        <v>671224.29</v>
      </c>
      <c r="I585">
        <v>493771.68</v>
      </c>
      <c r="J585">
        <v>297689.40000000002</v>
      </c>
      <c r="K585">
        <v>84</v>
      </c>
      <c r="L585">
        <v>9</v>
      </c>
      <c r="M585">
        <v>100</v>
      </c>
      <c r="N585">
        <v>6</v>
      </c>
      <c r="O585">
        <v>21</v>
      </c>
      <c r="P585">
        <v>171138.31</v>
      </c>
      <c r="Q585">
        <v>118.26</v>
      </c>
      <c r="R585">
        <v>118.44</v>
      </c>
      <c r="S585">
        <v>0</v>
      </c>
      <c r="T585">
        <v>0</v>
      </c>
      <c r="U585">
        <v>0</v>
      </c>
      <c r="V585">
        <v>0</v>
      </c>
      <c r="W585">
        <v>0</v>
      </c>
      <c r="X585">
        <v>0</v>
      </c>
      <c r="Y585">
        <v>0</v>
      </c>
      <c r="Z585">
        <v>0</v>
      </c>
      <c r="AA585">
        <v>0</v>
      </c>
      <c r="AB585">
        <v>0</v>
      </c>
      <c r="AC585">
        <v>0</v>
      </c>
      <c r="AD585">
        <v>0</v>
      </c>
      <c r="AE585">
        <v>0</v>
      </c>
      <c r="AF585">
        <v>0</v>
      </c>
      <c r="AG585">
        <v>0</v>
      </c>
      <c r="AH585">
        <v>0</v>
      </c>
      <c r="AI585">
        <v>0</v>
      </c>
      <c r="AJ585">
        <v>0</v>
      </c>
      <c r="AK585">
        <v>0</v>
      </c>
      <c r="AL585">
        <v>0</v>
      </c>
      <c r="AM585">
        <v>0</v>
      </c>
      <c r="AN585">
        <v>1</v>
      </c>
      <c r="AO585">
        <v>0</v>
      </c>
      <c r="AP585">
        <v>0</v>
      </c>
    </row>
    <row r="586" spans="4:42" x14ac:dyDescent="0.45">
      <c r="D586">
        <v>2026</v>
      </c>
      <c r="E586">
        <v>1</v>
      </c>
      <c r="F586">
        <v>4157000</v>
      </c>
      <c r="G586">
        <v>382435.52</v>
      </c>
      <c r="H586">
        <v>323139.84000000003</v>
      </c>
      <c r="I586">
        <v>52214.12</v>
      </c>
      <c r="J586">
        <v>3639.91</v>
      </c>
      <c r="K586">
        <v>28</v>
      </c>
      <c r="L586">
        <v>1</v>
      </c>
      <c r="M586">
        <v>91</v>
      </c>
      <c r="N586">
        <v>0</v>
      </c>
      <c r="O586">
        <v>9</v>
      </c>
      <c r="P586">
        <v>6463.79</v>
      </c>
      <c r="Q586">
        <v>117.39</v>
      </c>
      <c r="R586">
        <v>117.91</v>
      </c>
      <c r="S586">
        <v>0</v>
      </c>
      <c r="T586">
        <v>0</v>
      </c>
      <c r="U586">
        <v>0</v>
      </c>
      <c r="V586">
        <v>0</v>
      </c>
      <c r="W586">
        <v>0</v>
      </c>
      <c r="X586">
        <v>0</v>
      </c>
      <c r="Y586">
        <v>0</v>
      </c>
      <c r="Z586">
        <v>0</v>
      </c>
      <c r="AA586">
        <v>0</v>
      </c>
      <c r="AB586">
        <v>0</v>
      </c>
      <c r="AC586">
        <v>0</v>
      </c>
      <c r="AD586">
        <v>0</v>
      </c>
      <c r="AE586">
        <v>0</v>
      </c>
      <c r="AF586">
        <v>0</v>
      </c>
      <c r="AG586">
        <v>0</v>
      </c>
      <c r="AH586">
        <v>0</v>
      </c>
      <c r="AI586">
        <v>0</v>
      </c>
      <c r="AJ586">
        <v>0</v>
      </c>
      <c r="AK586">
        <v>0</v>
      </c>
      <c r="AL586">
        <v>0</v>
      </c>
      <c r="AM586">
        <v>0</v>
      </c>
      <c r="AN586">
        <v>0</v>
      </c>
      <c r="AO586">
        <v>0</v>
      </c>
      <c r="AP586">
        <v>0</v>
      </c>
    </row>
    <row r="587" spans="4:42" x14ac:dyDescent="0.45">
      <c r="D587">
        <v>2026</v>
      </c>
      <c r="E587">
        <v>1</v>
      </c>
      <c r="F587">
        <v>7364000</v>
      </c>
      <c r="G587">
        <v>771342.69</v>
      </c>
      <c r="H587">
        <v>316242.65000000002</v>
      </c>
      <c r="I587">
        <v>293292.64</v>
      </c>
      <c r="J587">
        <v>156804.14000000001</v>
      </c>
      <c r="K587">
        <v>31</v>
      </c>
      <c r="L587">
        <v>4</v>
      </c>
      <c r="M587">
        <v>245</v>
      </c>
      <c r="N587">
        <v>3</v>
      </c>
      <c r="O587">
        <v>18</v>
      </c>
      <c r="P587">
        <v>65477.97</v>
      </c>
      <c r="Q587">
        <v>122.45</v>
      </c>
      <c r="R587">
        <v>118.43</v>
      </c>
      <c r="S587">
        <v>0</v>
      </c>
      <c r="T587">
        <v>0</v>
      </c>
      <c r="U587">
        <v>0</v>
      </c>
      <c r="V587">
        <v>0</v>
      </c>
      <c r="W587">
        <v>0</v>
      </c>
      <c r="X587">
        <v>0</v>
      </c>
      <c r="Y587">
        <v>0</v>
      </c>
      <c r="Z587">
        <v>0</v>
      </c>
      <c r="AA587">
        <v>0</v>
      </c>
      <c r="AB587">
        <v>0</v>
      </c>
      <c r="AC587">
        <v>0</v>
      </c>
      <c r="AD587">
        <v>0</v>
      </c>
      <c r="AE587">
        <v>0</v>
      </c>
      <c r="AF587">
        <v>0</v>
      </c>
      <c r="AG587">
        <v>0</v>
      </c>
      <c r="AH587">
        <v>1</v>
      </c>
      <c r="AI587">
        <v>0</v>
      </c>
      <c r="AJ587">
        <v>0</v>
      </c>
      <c r="AK587">
        <v>0</v>
      </c>
      <c r="AL587">
        <v>0</v>
      </c>
      <c r="AM587">
        <v>0</v>
      </c>
      <c r="AN587">
        <v>0</v>
      </c>
      <c r="AO587">
        <v>0</v>
      </c>
      <c r="AP587">
        <v>0</v>
      </c>
    </row>
    <row r="588" spans="4:42" x14ac:dyDescent="0.45">
      <c r="D588">
        <v>2026</v>
      </c>
      <c r="E588">
        <v>1</v>
      </c>
      <c r="F588">
        <v>29692000</v>
      </c>
      <c r="G588">
        <v>2608336.79</v>
      </c>
      <c r="H588">
        <v>2036564.29</v>
      </c>
      <c r="I588">
        <v>444554.65</v>
      </c>
      <c r="J588">
        <v>27817.89</v>
      </c>
      <c r="K588">
        <v>223</v>
      </c>
      <c r="L588">
        <v>12</v>
      </c>
      <c r="M588">
        <v>960</v>
      </c>
      <c r="N588">
        <v>9</v>
      </c>
      <c r="O588">
        <v>39</v>
      </c>
      <c r="P588">
        <v>724632.19</v>
      </c>
      <c r="Q588">
        <v>116.15</v>
      </c>
      <c r="R588">
        <v>118.64</v>
      </c>
      <c r="S588">
        <v>0</v>
      </c>
      <c r="T588">
        <v>0</v>
      </c>
      <c r="U588">
        <v>0</v>
      </c>
      <c r="V588">
        <v>0</v>
      </c>
      <c r="W588">
        <v>0</v>
      </c>
      <c r="X588">
        <v>0</v>
      </c>
      <c r="Y588">
        <v>0</v>
      </c>
      <c r="Z588">
        <v>0</v>
      </c>
      <c r="AA588">
        <v>0</v>
      </c>
      <c r="AB588">
        <v>0</v>
      </c>
      <c r="AC588">
        <v>0</v>
      </c>
      <c r="AD588">
        <v>0</v>
      </c>
      <c r="AE588">
        <v>0</v>
      </c>
      <c r="AF588">
        <v>0</v>
      </c>
      <c r="AG588">
        <v>0</v>
      </c>
      <c r="AH588">
        <v>0</v>
      </c>
      <c r="AI588">
        <v>0</v>
      </c>
      <c r="AJ588">
        <v>0</v>
      </c>
      <c r="AK588">
        <v>0</v>
      </c>
      <c r="AL588">
        <v>0</v>
      </c>
      <c r="AM588">
        <v>1</v>
      </c>
      <c r="AN588">
        <v>0</v>
      </c>
      <c r="AO588">
        <v>0</v>
      </c>
      <c r="AP588">
        <v>0</v>
      </c>
    </row>
    <row r="589" spans="4:42" x14ac:dyDescent="0.45">
      <c r="D589">
        <v>2026</v>
      </c>
      <c r="E589">
        <v>1</v>
      </c>
      <c r="F589">
        <v>8670000</v>
      </c>
      <c r="G589">
        <v>914564.88</v>
      </c>
      <c r="H589">
        <v>390299.73</v>
      </c>
      <c r="I589">
        <v>308895.56</v>
      </c>
      <c r="J589">
        <v>232244.71</v>
      </c>
      <c r="K589">
        <v>45</v>
      </c>
      <c r="L589">
        <v>3</v>
      </c>
      <c r="M589">
        <v>55</v>
      </c>
      <c r="N589">
        <v>2</v>
      </c>
      <c r="O589">
        <v>13</v>
      </c>
      <c r="P589">
        <v>48920.38</v>
      </c>
      <c r="Q589">
        <v>122.89</v>
      </c>
      <c r="R589">
        <v>117.62</v>
      </c>
      <c r="S589">
        <v>0</v>
      </c>
      <c r="T589">
        <v>0</v>
      </c>
      <c r="U589">
        <v>0</v>
      </c>
      <c r="V589">
        <v>0</v>
      </c>
      <c r="W589">
        <v>0</v>
      </c>
      <c r="X589">
        <v>0</v>
      </c>
      <c r="Y589">
        <v>0</v>
      </c>
      <c r="Z589">
        <v>0</v>
      </c>
      <c r="AA589">
        <v>0</v>
      </c>
      <c r="AB589">
        <v>0</v>
      </c>
      <c r="AC589">
        <v>0</v>
      </c>
      <c r="AD589">
        <v>0</v>
      </c>
      <c r="AE589">
        <v>0</v>
      </c>
      <c r="AF589">
        <v>0</v>
      </c>
      <c r="AG589">
        <v>1</v>
      </c>
      <c r="AH589">
        <v>0</v>
      </c>
      <c r="AI589">
        <v>0</v>
      </c>
      <c r="AJ589">
        <v>0</v>
      </c>
      <c r="AK589">
        <v>0</v>
      </c>
      <c r="AL589">
        <v>0</v>
      </c>
      <c r="AM589">
        <v>0</v>
      </c>
      <c r="AN589">
        <v>0</v>
      </c>
      <c r="AO589">
        <v>0</v>
      </c>
      <c r="AP589">
        <v>0</v>
      </c>
    </row>
    <row r="590" spans="4:42" x14ac:dyDescent="0.45">
      <c r="D590">
        <v>2026</v>
      </c>
      <c r="E590">
        <v>1</v>
      </c>
      <c r="F590">
        <v>5701000</v>
      </c>
      <c r="G590">
        <v>511389.04</v>
      </c>
      <c r="H590">
        <v>416401.94</v>
      </c>
      <c r="I590">
        <v>81370.91</v>
      </c>
      <c r="J590">
        <v>6980.47</v>
      </c>
      <c r="K590">
        <v>38</v>
      </c>
      <c r="L590">
        <v>0</v>
      </c>
      <c r="M590">
        <v>99</v>
      </c>
      <c r="N590">
        <v>1</v>
      </c>
      <c r="O590">
        <v>12</v>
      </c>
      <c r="P590">
        <v>20833.54</v>
      </c>
      <c r="Q590">
        <v>116.01</v>
      </c>
      <c r="R590">
        <v>118.39</v>
      </c>
      <c r="S590">
        <v>0</v>
      </c>
      <c r="T590">
        <v>0</v>
      </c>
      <c r="U590">
        <v>0</v>
      </c>
      <c r="V590">
        <v>0</v>
      </c>
      <c r="W590">
        <v>0</v>
      </c>
      <c r="X590">
        <v>0</v>
      </c>
      <c r="Y590">
        <v>0</v>
      </c>
      <c r="Z590">
        <v>0</v>
      </c>
      <c r="AA590">
        <v>0</v>
      </c>
      <c r="AB590">
        <v>0</v>
      </c>
      <c r="AC590">
        <v>0</v>
      </c>
      <c r="AD590">
        <v>1</v>
      </c>
      <c r="AE590">
        <v>0</v>
      </c>
      <c r="AF590">
        <v>0</v>
      </c>
      <c r="AG590">
        <v>0</v>
      </c>
      <c r="AH590">
        <v>0</v>
      </c>
      <c r="AI590">
        <v>0</v>
      </c>
      <c r="AJ590">
        <v>0</v>
      </c>
      <c r="AK590">
        <v>0</v>
      </c>
      <c r="AL590">
        <v>0</v>
      </c>
      <c r="AM590">
        <v>0</v>
      </c>
      <c r="AN590">
        <v>0</v>
      </c>
      <c r="AO590">
        <v>0</v>
      </c>
      <c r="AP590">
        <v>0</v>
      </c>
    </row>
    <row r="591" spans="4:42" x14ac:dyDescent="0.45">
      <c r="D591">
        <v>2026</v>
      </c>
      <c r="E591">
        <v>1</v>
      </c>
      <c r="F591">
        <v>26129000</v>
      </c>
      <c r="G591">
        <v>2483050.12</v>
      </c>
      <c r="H591">
        <v>1870989.27</v>
      </c>
      <c r="I591">
        <v>427568.95</v>
      </c>
      <c r="J591">
        <v>75206.58</v>
      </c>
      <c r="K591">
        <v>182</v>
      </c>
      <c r="L591">
        <v>11</v>
      </c>
      <c r="M591">
        <v>903</v>
      </c>
      <c r="N591">
        <v>8</v>
      </c>
      <c r="O591">
        <v>28</v>
      </c>
      <c r="P591">
        <v>622778.71</v>
      </c>
      <c r="Q591">
        <v>121.04</v>
      </c>
      <c r="R591">
        <v>118.11</v>
      </c>
      <c r="S591">
        <v>0</v>
      </c>
      <c r="T591">
        <v>0</v>
      </c>
      <c r="U591">
        <v>0</v>
      </c>
      <c r="V591">
        <v>0</v>
      </c>
      <c r="W591">
        <v>0</v>
      </c>
      <c r="X591">
        <v>0</v>
      </c>
      <c r="Y591">
        <v>0</v>
      </c>
      <c r="Z591">
        <v>0</v>
      </c>
      <c r="AA591">
        <v>0</v>
      </c>
      <c r="AB591">
        <v>0</v>
      </c>
      <c r="AC591">
        <v>0</v>
      </c>
      <c r="AD591">
        <v>0</v>
      </c>
      <c r="AE591">
        <v>0</v>
      </c>
      <c r="AF591">
        <v>1</v>
      </c>
      <c r="AG591">
        <v>0</v>
      </c>
      <c r="AH591">
        <v>0</v>
      </c>
      <c r="AI591">
        <v>0</v>
      </c>
      <c r="AJ591">
        <v>0</v>
      </c>
      <c r="AK591">
        <v>0</v>
      </c>
      <c r="AL591">
        <v>0</v>
      </c>
      <c r="AM591">
        <v>0</v>
      </c>
      <c r="AN591">
        <v>0</v>
      </c>
      <c r="AO591">
        <v>0</v>
      </c>
      <c r="AP591">
        <v>0</v>
      </c>
    </row>
    <row r="592" spans="4:42" x14ac:dyDescent="0.45">
      <c r="D592">
        <v>2026</v>
      </c>
      <c r="E592">
        <v>1</v>
      </c>
      <c r="F592">
        <v>9501000</v>
      </c>
      <c r="G592">
        <v>797553.43</v>
      </c>
      <c r="H592">
        <v>518000.01</v>
      </c>
      <c r="I592">
        <v>252316.14</v>
      </c>
      <c r="J592">
        <v>39650.53</v>
      </c>
      <c r="K592">
        <v>67</v>
      </c>
      <c r="L592">
        <v>5</v>
      </c>
      <c r="M592">
        <v>37</v>
      </c>
      <c r="N592">
        <v>2</v>
      </c>
      <c r="O592">
        <v>15</v>
      </c>
      <c r="P592">
        <v>62572.83</v>
      </c>
      <c r="Q592">
        <v>123.7</v>
      </c>
      <c r="R592">
        <v>118.19</v>
      </c>
      <c r="S592">
        <v>0</v>
      </c>
      <c r="T592">
        <v>0</v>
      </c>
      <c r="U592">
        <v>0</v>
      </c>
      <c r="V592">
        <v>0</v>
      </c>
      <c r="W592">
        <v>0</v>
      </c>
      <c r="X592">
        <v>0</v>
      </c>
      <c r="Y592">
        <v>0</v>
      </c>
      <c r="Z592">
        <v>0</v>
      </c>
      <c r="AA592">
        <v>0</v>
      </c>
      <c r="AB592">
        <v>0</v>
      </c>
      <c r="AC592">
        <v>0</v>
      </c>
      <c r="AD592">
        <v>0</v>
      </c>
      <c r="AE592">
        <v>0</v>
      </c>
      <c r="AF592">
        <v>0</v>
      </c>
      <c r="AG592">
        <v>0</v>
      </c>
      <c r="AH592">
        <v>0</v>
      </c>
      <c r="AI592">
        <v>0</v>
      </c>
      <c r="AJ592">
        <v>1</v>
      </c>
      <c r="AK592">
        <v>0</v>
      </c>
      <c r="AL592">
        <v>0</v>
      </c>
      <c r="AM592">
        <v>0</v>
      </c>
      <c r="AN592">
        <v>0</v>
      </c>
      <c r="AO592">
        <v>0</v>
      </c>
      <c r="AP592">
        <v>0</v>
      </c>
    </row>
    <row r="593" spans="4:42" x14ac:dyDescent="0.45">
      <c r="D593">
        <v>2026</v>
      </c>
      <c r="E593">
        <v>1</v>
      </c>
      <c r="F593">
        <v>4988000</v>
      </c>
      <c r="G593">
        <v>443722.13</v>
      </c>
      <c r="H593">
        <v>356383.04</v>
      </c>
      <c r="I593">
        <v>76786.89</v>
      </c>
      <c r="J593">
        <v>6372.7</v>
      </c>
      <c r="K593">
        <v>34</v>
      </c>
      <c r="L593">
        <v>0</v>
      </c>
      <c r="M593">
        <v>58</v>
      </c>
      <c r="N593">
        <v>4</v>
      </c>
      <c r="O593">
        <v>16</v>
      </c>
      <c r="P593">
        <v>50793.279999999999</v>
      </c>
      <c r="Q593">
        <v>119.6</v>
      </c>
      <c r="R593">
        <v>117.39</v>
      </c>
      <c r="S593">
        <v>0</v>
      </c>
      <c r="T593">
        <v>0</v>
      </c>
      <c r="U593">
        <v>0</v>
      </c>
      <c r="V593">
        <v>0</v>
      </c>
      <c r="W593">
        <v>0</v>
      </c>
      <c r="X593">
        <v>0</v>
      </c>
      <c r="Y593">
        <v>0</v>
      </c>
      <c r="Z593">
        <v>0</v>
      </c>
      <c r="AA593">
        <v>0</v>
      </c>
      <c r="AB593">
        <v>0</v>
      </c>
      <c r="AC593">
        <v>0</v>
      </c>
      <c r="AD593">
        <v>0</v>
      </c>
      <c r="AE593">
        <v>0</v>
      </c>
      <c r="AF593">
        <v>0</v>
      </c>
      <c r="AG593">
        <v>0</v>
      </c>
      <c r="AH593">
        <v>0</v>
      </c>
      <c r="AI593">
        <v>0</v>
      </c>
      <c r="AJ593">
        <v>0</v>
      </c>
      <c r="AK593">
        <v>0</v>
      </c>
      <c r="AL593">
        <v>1</v>
      </c>
      <c r="AM593">
        <v>0</v>
      </c>
      <c r="AN593">
        <v>0</v>
      </c>
      <c r="AO593">
        <v>0</v>
      </c>
      <c r="AP593">
        <v>0</v>
      </c>
    </row>
    <row r="594" spans="4:42" x14ac:dyDescent="0.45">
      <c r="D594">
        <v>2026</v>
      </c>
      <c r="E594">
        <v>1</v>
      </c>
      <c r="F594">
        <v>22566000</v>
      </c>
      <c r="G594">
        <v>2003625.28</v>
      </c>
      <c r="H594">
        <v>954092.26</v>
      </c>
      <c r="I594">
        <v>987436.66</v>
      </c>
      <c r="J594">
        <v>73062.28</v>
      </c>
      <c r="K594">
        <v>100</v>
      </c>
      <c r="L594">
        <v>7</v>
      </c>
      <c r="M594">
        <v>502</v>
      </c>
      <c r="N594">
        <v>10</v>
      </c>
      <c r="O594">
        <v>36</v>
      </c>
      <c r="P594">
        <v>488096.03</v>
      </c>
      <c r="Q594">
        <v>121.63</v>
      </c>
      <c r="R594">
        <v>118.28</v>
      </c>
      <c r="S594">
        <v>0</v>
      </c>
      <c r="T594">
        <v>0</v>
      </c>
      <c r="U594">
        <v>0</v>
      </c>
      <c r="V594">
        <v>0</v>
      </c>
      <c r="W594">
        <v>0</v>
      </c>
      <c r="X594">
        <v>0</v>
      </c>
      <c r="Y594">
        <v>0</v>
      </c>
      <c r="Z594">
        <v>0</v>
      </c>
      <c r="AA594">
        <v>0</v>
      </c>
      <c r="AB594">
        <v>0</v>
      </c>
      <c r="AC594">
        <v>0</v>
      </c>
      <c r="AD594">
        <v>0</v>
      </c>
      <c r="AE594">
        <v>0</v>
      </c>
      <c r="AF594">
        <v>0</v>
      </c>
      <c r="AG594">
        <v>0</v>
      </c>
      <c r="AH594">
        <v>0</v>
      </c>
      <c r="AI594">
        <v>0</v>
      </c>
      <c r="AJ594">
        <v>0</v>
      </c>
      <c r="AK594">
        <v>0</v>
      </c>
      <c r="AL594">
        <v>0</v>
      </c>
      <c r="AM594">
        <v>0</v>
      </c>
      <c r="AN594">
        <v>0</v>
      </c>
      <c r="AO594">
        <v>0</v>
      </c>
      <c r="AP594">
        <v>1</v>
      </c>
    </row>
    <row r="595" spans="4:42" x14ac:dyDescent="0.45">
      <c r="D595">
        <v>2026</v>
      </c>
      <c r="E595">
        <v>2</v>
      </c>
      <c r="F595">
        <v>5701000</v>
      </c>
      <c r="G595">
        <v>553734.52</v>
      </c>
      <c r="H595">
        <v>426904.3</v>
      </c>
      <c r="I595">
        <v>80505.8</v>
      </c>
      <c r="J595">
        <v>42561.13</v>
      </c>
      <c r="K595">
        <v>38</v>
      </c>
      <c r="L595">
        <v>3</v>
      </c>
      <c r="M595">
        <v>45</v>
      </c>
      <c r="N595">
        <v>2</v>
      </c>
      <c r="O595">
        <v>15</v>
      </c>
      <c r="P595">
        <v>39889.94</v>
      </c>
      <c r="Q595">
        <v>122.99</v>
      </c>
      <c r="R595">
        <v>118.69</v>
      </c>
      <c r="S595">
        <v>0</v>
      </c>
      <c r="T595">
        <v>0</v>
      </c>
      <c r="U595">
        <v>0</v>
      </c>
      <c r="V595">
        <v>0</v>
      </c>
      <c r="W595">
        <v>0</v>
      </c>
      <c r="X595">
        <v>0</v>
      </c>
      <c r="Y595">
        <v>0</v>
      </c>
      <c r="Z595">
        <v>0</v>
      </c>
      <c r="AA595">
        <v>0</v>
      </c>
      <c r="AB595">
        <v>1</v>
      </c>
      <c r="AC595">
        <v>0</v>
      </c>
      <c r="AD595">
        <v>1</v>
      </c>
      <c r="AE595">
        <v>0</v>
      </c>
      <c r="AF595">
        <v>0</v>
      </c>
      <c r="AG595">
        <v>0</v>
      </c>
      <c r="AH595">
        <v>0</v>
      </c>
      <c r="AI595">
        <v>0</v>
      </c>
      <c r="AJ595">
        <v>0</v>
      </c>
      <c r="AK595">
        <v>0</v>
      </c>
      <c r="AL595">
        <v>0</v>
      </c>
      <c r="AM595">
        <v>0</v>
      </c>
      <c r="AN595">
        <v>0</v>
      </c>
      <c r="AO595">
        <v>0</v>
      </c>
      <c r="AP595">
        <v>0</v>
      </c>
    </row>
    <row r="596" spans="4:42" x14ac:dyDescent="0.45">
      <c r="D596">
        <v>2026</v>
      </c>
      <c r="E596">
        <v>2</v>
      </c>
      <c r="F596">
        <v>29692000</v>
      </c>
      <c r="G596">
        <v>2620380.54</v>
      </c>
      <c r="H596">
        <v>2059988.84</v>
      </c>
      <c r="I596">
        <v>630161.87</v>
      </c>
      <c r="J596">
        <v>96129.42</v>
      </c>
      <c r="K596">
        <v>219</v>
      </c>
      <c r="L596">
        <v>17</v>
      </c>
      <c r="M596">
        <v>848</v>
      </c>
      <c r="N596">
        <v>8</v>
      </c>
      <c r="O596">
        <v>34</v>
      </c>
      <c r="P596">
        <v>707010.42</v>
      </c>
      <c r="Q596">
        <v>120.51</v>
      </c>
      <c r="R596">
        <v>119.51</v>
      </c>
      <c r="S596">
        <v>0</v>
      </c>
      <c r="T596">
        <v>0</v>
      </c>
      <c r="U596">
        <v>0</v>
      </c>
      <c r="V596">
        <v>0</v>
      </c>
      <c r="W596">
        <v>0</v>
      </c>
      <c r="X596">
        <v>0</v>
      </c>
      <c r="Y596">
        <v>0</v>
      </c>
      <c r="Z596">
        <v>0</v>
      </c>
      <c r="AA596">
        <v>0</v>
      </c>
      <c r="AB596">
        <v>1</v>
      </c>
      <c r="AC596">
        <v>0</v>
      </c>
      <c r="AD596">
        <v>0</v>
      </c>
      <c r="AE596">
        <v>0</v>
      </c>
      <c r="AF596">
        <v>0</v>
      </c>
      <c r="AG596">
        <v>0</v>
      </c>
      <c r="AH596">
        <v>0</v>
      </c>
      <c r="AI596">
        <v>0</v>
      </c>
      <c r="AJ596">
        <v>0</v>
      </c>
      <c r="AK596">
        <v>0</v>
      </c>
      <c r="AL596">
        <v>0</v>
      </c>
      <c r="AM596">
        <v>1</v>
      </c>
      <c r="AN596">
        <v>0</v>
      </c>
      <c r="AO596">
        <v>0</v>
      </c>
      <c r="AP596">
        <v>0</v>
      </c>
    </row>
    <row r="597" spans="4:42" x14ac:dyDescent="0.45">
      <c r="D597">
        <v>2026</v>
      </c>
      <c r="E597">
        <v>2</v>
      </c>
      <c r="F597">
        <v>22566000</v>
      </c>
      <c r="G597">
        <v>2007001.26</v>
      </c>
      <c r="H597">
        <v>937298.74</v>
      </c>
      <c r="I597">
        <v>1031381.15</v>
      </c>
      <c r="J597">
        <v>72485.89</v>
      </c>
      <c r="K597">
        <v>103</v>
      </c>
      <c r="L597">
        <v>5</v>
      </c>
      <c r="M597">
        <v>592</v>
      </c>
      <c r="N597">
        <v>7</v>
      </c>
      <c r="O597">
        <v>28</v>
      </c>
      <c r="P597">
        <v>493140.38</v>
      </c>
      <c r="Q597">
        <v>121.25</v>
      </c>
      <c r="R597">
        <v>117.13</v>
      </c>
      <c r="S597">
        <v>0</v>
      </c>
      <c r="T597">
        <v>0</v>
      </c>
      <c r="U597">
        <v>0</v>
      </c>
      <c r="V597">
        <v>0</v>
      </c>
      <c r="W597">
        <v>0</v>
      </c>
      <c r="X597">
        <v>0</v>
      </c>
      <c r="Y597">
        <v>0</v>
      </c>
      <c r="Z597">
        <v>0</v>
      </c>
      <c r="AA597">
        <v>0</v>
      </c>
      <c r="AB597">
        <v>1</v>
      </c>
      <c r="AC597">
        <v>0</v>
      </c>
      <c r="AD597">
        <v>0</v>
      </c>
      <c r="AE597">
        <v>0</v>
      </c>
      <c r="AF597">
        <v>0</v>
      </c>
      <c r="AG597">
        <v>0</v>
      </c>
      <c r="AH597">
        <v>0</v>
      </c>
      <c r="AI597">
        <v>0</v>
      </c>
      <c r="AJ597">
        <v>0</v>
      </c>
      <c r="AK597">
        <v>0</v>
      </c>
      <c r="AL597">
        <v>0</v>
      </c>
      <c r="AM597">
        <v>0</v>
      </c>
      <c r="AN597">
        <v>0</v>
      </c>
      <c r="AO597">
        <v>0</v>
      </c>
      <c r="AP597">
        <v>1</v>
      </c>
    </row>
    <row r="598" spans="4:42" x14ac:dyDescent="0.45">
      <c r="D598">
        <v>2026</v>
      </c>
      <c r="E598">
        <v>2</v>
      </c>
      <c r="F598">
        <v>4157000</v>
      </c>
      <c r="G598">
        <v>359481.3</v>
      </c>
      <c r="H598">
        <v>304478.07</v>
      </c>
      <c r="I598">
        <v>53149.98</v>
      </c>
      <c r="J598">
        <v>3143.66</v>
      </c>
      <c r="K598">
        <v>28</v>
      </c>
      <c r="L598">
        <v>0</v>
      </c>
      <c r="M598">
        <v>33</v>
      </c>
      <c r="N598">
        <v>1</v>
      </c>
      <c r="O598">
        <v>7</v>
      </c>
      <c r="P598">
        <v>10878.81</v>
      </c>
      <c r="Q598">
        <v>122.07</v>
      </c>
      <c r="R598">
        <v>119.44</v>
      </c>
      <c r="S598">
        <v>0</v>
      </c>
      <c r="T598">
        <v>0</v>
      </c>
      <c r="U598">
        <v>0</v>
      </c>
      <c r="V598">
        <v>0</v>
      </c>
      <c r="W598">
        <v>0</v>
      </c>
      <c r="X598">
        <v>0</v>
      </c>
      <c r="Y598">
        <v>0</v>
      </c>
      <c r="Z598">
        <v>0</v>
      </c>
      <c r="AA598">
        <v>0</v>
      </c>
      <c r="AB598">
        <v>1</v>
      </c>
      <c r="AC598">
        <v>0</v>
      </c>
      <c r="AD598">
        <v>0</v>
      </c>
      <c r="AE598">
        <v>0</v>
      </c>
      <c r="AF598">
        <v>0</v>
      </c>
      <c r="AG598">
        <v>0</v>
      </c>
      <c r="AH598">
        <v>0</v>
      </c>
      <c r="AI598">
        <v>0</v>
      </c>
      <c r="AJ598">
        <v>0</v>
      </c>
      <c r="AK598">
        <v>0</v>
      </c>
      <c r="AL598">
        <v>0</v>
      </c>
      <c r="AM598">
        <v>0</v>
      </c>
      <c r="AN598">
        <v>0</v>
      </c>
      <c r="AO598">
        <v>0</v>
      </c>
      <c r="AP598">
        <v>0</v>
      </c>
    </row>
    <row r="599" spans="4:42" x14ac:dyDescent="0.45">
      <c r="D599">
        <v>2026</v>
      </c>
      <c r="E599">
        <v>2</v>
      </c>
      <c r="F599">
        <v>16034000</v>
      </c>
      <c r="G599">
        <v>1314609.6499999999</v>
      </c>
      <c r="H599">
        <v>664725.22</v>
      </c>
      <c r="I599">
        <v>609261.46</v>
      </c>
      <c r="J599">
        <v>59576.65</v>
      </c>
      <c r="K599">
        <v>82</v>
      </c>
      <c r="L599">
        <v>5</v>
      </c>
      <c r="M599">
        <v>86</v>
      </c>
      <c r="N599">
        <v>3</v>
      </c>
      <c r="O599">
        <v>15</v>
      </c>
      <c r="P599">
        <v>154069.01999999999</v>
      </c>
      <c r="Q599">
        <v>121</v>
      </c>
      <c r="R599">
        <v>118.59</v>
      </c>
      <c r="S599">
        <v>0</v>
      </c>
      <c r="T599">
        <v>0</v>
      </c>
      <c r="U599">
        <v>0</v>
      </c>
      <c r="V599">
        <v>0</v>
      </c>
      <c r="W599">
        <v>0</v>
      </c>
      <c r="X599">
        <v>0</v>
      </c>
      <c r="Y599">
        <v>0</v>
      </c>
      <c r="Z599">
        <v>0</v>
      </c>
      <c r="AA599">
        <v>0</v>
      </c>
      <c r="AB599">
        <v>1</v>
      </c>
      <c r="AC599">
        <v>0</v>
      </c>
      <c r="AD599">
        <v>0</v>
      </c>
      <c r="AE599">
        <v>0</v>
      </c>
      <c r="AF599">
        <v>0</v>
      </c>
      <c r="AG599">
        <v>0</v>
      </c>
      <c r="AH599">
        <v>0</v>
      </c>
      <c r="AI599">
        <v>0</v>
      </c>
      <c r="AJ599">
        <v>0</v>
      </c>
      <c r="AK599">
        <v>0</v>
      </c>
      <c r="AL599">
        <v>0</v>
      </c>
      <c r="AM599">
        <v>0</v>
      </c>
      <c r="AN599">
        <v>0</v>
      </c>
      <c r="AO599">
        <v>1</v>
      </c>
      <c r="AP599">
        <v>0</v>
      </c>
    </row>
    <row r="600" spans="4:42" x14ac:dyDescent="0.45">
      <c r="D600">
        <v>2026</v>
      </c>
      <c r="E600">
        <v>2</v>
      </c>
      <c r="F600">
        <v>9501000</v>
      </c>
      <c r="G600">
        <v>807296.29</v>
      </c>
      <c r="H600">
        <v>508767.29</v>
      </c>
      <c r="I600">
        <v>287146.77</v>
      </c>
      <c r="J600">
        <v>17455.330000000002</v>
      </c>
      <c r="K600">
        <v>67</v>
      </c>
      <c r="L600">
        <v>1</v>
      </c>
      <c r="M600">
        <v>66</v>
      </c>
      <c r="N600">
        <v>4</v>
      </c>
      <c r="O600">
        <v>16</v>
      </c>
      <c r="P600">
        <v>85857.47</v>
      </c>
      <c r="Q600">
        <v>124.3</v>
      </c>
      <c r="R600">
        <v>118.85</v>
      </c>
      <c r="S600">
        <v>0</v>
      </c>
      <c r="T600">
        <v>0</v>
      </c>
      <c r="U600">
        <v>0</v>
      </c>
      <c r="V600">
        <v>0</v>
      </c>
      <c r="W600">
        <v>0</v>
      </c>
      <c r="X600">
        <v>0</v>
      </c>
      <c r="Y600">
        <v>0</v>
      </c>
      <c r="Z600">
        <v>0</v>
      </c>
      <c r="AA600">
        <v>0</v>
      </c>
      <c r="AB600">
        <v>1</v>
      </c>
      <c r="AC600">
        <v>0</v>
      </c>
      <c r="AD600">
        <v>0</v>
      </c>
      <c r="AE600">
        <v>0</v>
      </c>
      <c r="AF600">
        <v>0</v>
      </c>
      <c r="AG600">
        <v>0</v>
      </c>
      <c r="AH600">
        <v>0</v>
      </c>
      <c r="AI600">
        <v>0</v>
      </c>
      <c r="AJ600">
        <v>1</v>
      </c>
      <c r="AK600">
        <v>0</v>
      </c>
      <c r="AL600">
        <v>0</v>
      </c>
      <c r="AM600">
        <v>0</v>
      </c>
      <c r="AN600">
        <v>0</v>
      </c>
      <c r="AO600">
        <v>0</v>
      </c>
      <c r="AP600">
        <v>0</v>
      </c>
    </row>
    <row r="601" spans="4:42" x14ac:dyDescent="0.45">
      <c r="D601">
        <v>2026</v>
      </c>
      <c r="E601">
        <v>2</v>
      </c>
      <c r="F601">
        <v>8670000</v>
      </c>
      <c r="G601">
        <v>725370.66</v>
      </c>
      <c r="H601">
        <v>387377.84</v>
      </c>
      <c r="I601">
        <v>296459.94</v>
      </c>
      <c r="J601">
        <v>25795.99</v>
      </c>
      <c r="K601">
        <v>46</v>
      </c>
      <c r="L601">
        <v>4</v>
      </c>
      <c r="M601">
        <v>67</v>
      </c>
      <c r="N601">
        <v>4</v>
      </c>
      <c r="O601">
        <v>17</v>
      </c>
      <c r="P601">
        <v>110308.01</v>
      </c>
      <c r="Q601">
        <v>120.77</v>
      </c>
      <c r="R601">
        <v>119.12</v>
      </c>
      <c r="S601">
        <v>0</v>
      </c>
      <c r="T601">
        <v>0</v>
      </c>
      <c r="U601">
        <v>0</v>
      </c>
      <c r="V601">
        <v>0</v>
      </c>
      <c r="W601">
        <v>0</v>
      </c>
      <c r="X601">
        <v>0</v>
      </c>
      <c r="Y601">
        <v>0</v>
      </c>
      <c r="Z601">
        <v>0</v>
      </c>
      <c r="AA601">
        <v>0</v>
      </c>
      <c r="AB601">
        <v>1</v>
      </c>
      <c r="AC601">
        <v>0</v>
      </c>
      <c r="AD601">
        <v>0</v>
      </c>
      <c r="AE601">
        <v>0</v>
      </c>
      <c r="AF601">
        <v>0</v>
      </c>
      <c r="AG601">
        <v>1</v>
      </c>
      <c r="AH601">
        <v>0</v>
      </c>
      <c r="AI601">
        <v>0</v>
      </c>
      <c r="AJ601">
        <v>0</v>
      </c>
      <c r="AK601">
        <v>0</v>
      </c>
      <c r="AL601">
        <v>0</v>
      </c>
      <c r="AM601">
        <v>0</v>
      </c>
      <c r="AN601">
        <v>0</v>
      </c>
      <c r="AO601">
        <v>0</v>
      </c>
      <c r="AP601">
        <v>0</v>
      </c>
    </row>
    <row r="602" spans="4:42" x14ac:dyDescent="0.45">
      <c r="D602">
        <v>2026</v>
      </c>
      <c r="E602">
        <v>2</v>
      </c>
      <c r="F602">
        <v>26129000</v>
      </c>
      <c r="G602">
        <v>2420633.3199999998</v>
      </c>
      <c r="H602">
        <v>1838205.56</v>
      </c>
      <c r="I602">
        <v>517916.65</v>
      </c>
      <c r="J602">
        <v>33667.64</v>
      </c>
      <c r="K602">
        <v>184</v>
      </c>
      <c r="L602">
        <v>10</v>
      </c>
      <c r="M602">
        <v>835</v>
      </c>
      <c r="N602">
        <v>6</v>
      </c>
      <c r="O602">
        <v>31</v>
      </c>
      <c r="P602">
        <v>302136.09000000003</v>
      </c>
      <c r="Q602">
        <v>118.61</v>
      </c>
      <c r="R602">
        <v>118.45</v>
      </c>
      <c r="S602">
        <v>0</v>
      </c>
      <c r="T602">
        <v>0</v>
      </c>
      <c r="U602">
        <v>0</v>
      </c>
      <c r="V602">
        <v>0</v>
      </c>
      <c r="W602">
        <v>0</v>
      </c>
      <c r="X602">
        <v>0</v>
      </c>
      <c r="Y602">
        <v>0</v>
      </c>
      <c r="Z602">
        <v>0</v>
      </c>
      <c r="AA602">
        <v>0</v>
      </c>
      <c r="AB602">
        <v>1</v>
      </c>
      <c r="AC602">
        <v>0</v>
      </c>
      <c r="AD602">
        <v>0</v>
      </c>
      <c r="AE602">
        <v>0</v>
      </c>
      <c r="AF602">
        <v>1</v>
      </c>
      <c r="AG602">
        <v>0</v>
      </c>
      <c r="AH602">
        <v>0</v>
      </c>
      <c r="AI602">
        <v>0</v>
      </c>
      <c r="AJ602">
        <v>0</v>
      </c>
      <c r="AK602">
        <v>0</v>
      </c>
      <c r="AL602">
        <v>0</v>
      </c>
      <c r="AM602">
        <v>0</v>
      </c>
      <c r="AN602">
        <v>0</v>
      </c>
      <c r="AO602">
        <v>0</v>
      </c>
      <c r="AP602">
        <v>0</v>
      </c>
    </row>
    <row r="603" spans="4:42" x14ac:dyDescent="0.45">
      <c r="D603">
        <v>2026</v>
      </c>
      <c r="E603">
        <v>2</v>
      </c>
      <c r="F603">
        <v>4988000</v>
      </c>
      <c r="G603">
        <v>455027.53</v>
      </c>
      <c r="H603">
        <v>347446.55</v>
      </c>
      <c r="I603">
        <v>75808.81</v>
      </c>
      <c r="J603">
        <v>31956.02</v>
      </c>
      <c r="K603">
        <v>33</v>
      </c>
      <c r="L603">
        <v>4</v>
      </c>
      <c r="M603">
        <v>21</v>
      </c>
      <c r="N603">
        <v>4</v>
      </c>
      <c r="O603">
        <v>16</v>
      </c>
      <c r="P603">
        <v>49878.32</v>
      </c>
      <c r="Q603">
        <v>119.27</v>
      </c>
      <c r="R603">
        <v>118.28</v>
      </c>
      <c r="S603">
        <v>0</v>
      </c>
      <c r="T603">
        <v>0</v>
      </c>
      <c r="U603">
        <v>0</v>
      </c>
      <c r="V603">
        <v>0</v>
      </c>
      <c r="W603">
        <v>0</v>
      </c>
      <c r="X603">
        <v>0</v>
      </c>
      <c r="Y603">
        <v>0</v>
      </c>
      <c r="Z603">
        <v>0</v>
      </c>
      <c r="AA603">
        <v>0</v>
      </c>
      <c r="AB603">
        <v>1</v>
      </c>
      <c r="AC603">
        <v>0</v>
      </c>
      <c r="AD603">
        <v>0</v>
      </c>
      <c r="AE603">
        <v>0</v>
      </c>
      <c r="AF603">
        <v>0</v>
      </c>
      <c r="AG603">
        <v>0</v>
      </c>
      <c r="AH603">
        <v>0</v>
      </c>
      <c r="AI603">
        <v>0</v>
      </c>
      <c r="AJ603">
        <v>0</v>
      </c>
      <c r="AK603">
        <v>0</v>
      </c>
      <c r="AL603">
        <v>1</v>
      </c>
      <c r="AM603">
        <v>0</v>
      </c>
      <c r="AN603">
        <v>0</v>
      </c>
      <c r="AO603">
        <v>0</v>
      </c>
      <c r="AP603">
        <v>0</v>
      </c>
    </row>
    <row r="604" spans="4:42" x14ac:dyDescent="0.45">
      <c r="D604">
        <v>2026</v>
      </c>
      <c r="E604">
        <v>2</v>
      </c>
      <c r="F604">
        <v>7364000</v>
      </c>
      <c r="G604">
        <v>690881.97</v>
      </c>
      <c r="H604">
        <v>337988.02</v>
      </c>
      <c r="I604">
        <v>312410.90999999997</v>
      </c>
      <c r="J604">
        <v>44512.86</v>
      </c>
      <c r="K604">
        <v>33</v>
      </c>
      <c r="L604">
        <v>1</v>
      </c>
      <c r="M604">
        <v>8</v>
      </c>
      <c r="N604">
        <v>4</v>
      </c>
      <c r="O604">
        <v>15</v>
      </c>
      <c r="P604">
        <v>66520.47</v>
      </c>
      <c r="Q604">
        <v>118.71</v>
      </c>
      <c r="R604">
        <v>119.03</v>
      </c>
      <c r="S604">
        <v>0</v>
      </c>
      <c r="T604">
        <v>0</v>
      </c>
      <c r="U604">
        <v>0</v>
      </c>
      <c r="V604">
        <v>0</v>
      </c>
      <c r="W604">
        <v>0</v>
      </c>
      <c r="X604">
        <v>0</v>
      </c>
      <c r="Y604">
        <v>0</v>
      </c>
      <c r="Z604">
        <v>0</v>
      </c>
      <c r="AA604">
        <v>0</v>
      </c>
      <c r="AB604">
        <v>1</v>
      </c>
      <c r="AC604">
        <v>0</v>
      </c>
      <c r="AD604">
        <v>0</v>
      </c>
      <c r="AE604">
        <v>0</v>
      </c>
      <c r="AF604">
        <v>0</v>
      </c>
      <c r="AG604">
        <v>0</v>
      </c>
      <c r="AH604">
        <v>1</v>
      </c>
      <c r="AI604">
        <v>0</v>
      </c>
      <c r="AJ604">
        <v>0</v>
      </c>
      <c r="AK604">
        <v>0</v>
      </c>
      <c r="AL604">
        <v>0</v>
      </c>
      <c r="AM604">
        <v>0</v>
      </c>
      <c r="AN604">
        <v>0</v>
      </c>
      <c r="AO604">
        <v>0</v>
      </c>
      <c r="AP604">
        <v>0</v>
      </c>
    </row>
    <row r="605" spans="4:42" x14ac:dyDescent="0.45">
      <c r="D605">
        <v>2026</v>
      </c>
      <c r="E605">
        <v>3</v>
      </c>
      <c r="F605">
        <v>16034000</v>
      </c>
      <c r="G605">
        <v>1418424.56</v>
      </c>
      <c r="H605">
        <v>720818.15</v>
      </c>
      <c r="I605">
        <v>657131.53</v>
      </c>
      <c r="J605">
        <v>49838.55</v>
      </c>
      <c r="K605">
        <v>83</v>
      </c>
      <c r="L605">
        <v>7</v>
      </c>
      <c r="M605">
        <v>252</v>
      </c>
      <c r="N605">
        <v>7</v>
      </c>
      <c r="O605">
        <v>22</v>
      </c>
      <c r="P605">
        <v>233856.99</v>
      </c>
      <c r="Q605">
        <v>119.14</v>
      </c>
      <c r="R605">
        <v>119.56</v>
      </c>
      <c r="S605">
        <v>0</v>
      </c>
      <c r="T605">
        <v>0</v>
      </c>
      <c r="U605">
        <v>1</v>
      </c>
      <c r="V605">
        <v>0</v>
      </c>
      <c r="W605">
        <v>0</v>
      </c>
      <c r="X605">
        <v>0</v>
      </c>
      <c r="Y605">
        <v>0</v>
      </c>
      <c r="Z605">
        <v>0</v>
      </c>
      <c r="AA605">
        <v>0</v>
      </c>
      <c r="AB605">
        <v>0</v>
      </c>
      <c r="AC605">
        <v>0</v>
      </c>
      <c r="AD605">
        <v>0</v>
      </c>
      <c r="AE605">
        <v>0</v>
      </c>
      <c r="AF605">
        <v>0</v>
      </c>
      <c r="AG605">
        <v>0</v>
      </c>
      <c r="AH605">
        <v>0</v>
      </c>
      <c r="AI605">
        <v>0</v>
      </c>
      <c r="AJ605">
        <v>0</v>
      </c>
      <c r="AK605">
        <v>0</v>
      </c>
      <c r="AL605">
        <v>0</v>
      </c>
      <c r="AM605">
        <v>0</v>
      </c>
      <c r="AN605">
        <v>1</v>
      </c>
      <c r="AO605">
        <v>0</v>
      </c>
      <c r="AP605">
        <v>0</v>
      </c>
    </row>
    <row r="606" spans="4:42" x14ac:dyDescent="0.45">
      <c r="D606">
        <v>2026</v>
      </c>
      <c r="E606">
        <v>3</v>
      </c>
      <c r="F606">
        <v>22566000</v>
      </c>
      <c r="G606">
        <v>2530008.7799999998</v>
      </c>
      <c r="H606">
        <v>916545.03</v>
      </c>
      <c r="I606">
        <v>1143135.44</v>
      </c>
      <c r="J606">
        <v>492605.48</v>
      </c>
      <c r="K606">
        <v>101</v>
      </c>
      <c r="L606">
        <v>8</v>
      </c>
      <c r="M606">
        <v>482</v>
      </c>
      <c r="N606">
        <v>7</v>
      </c>
      <c r="O606">
        <v>32</v>
      </c>
      <c r="P606">
        <v>319063.53999999998</v>
      </c>
      <c r="Q606">
        <v>123.78</v>
      </c>
      <c r="R606">
        <v>118.32</v>
      </c>
      <c r="S606">
        <v>0</v>
      </c>
      <c r="T606">
        <v>0</v>
      </c>
      <c r="U606">
        <v>1</v>
      </c>
      <c r="V606">
        <v>0</v>
      </c>
      <c r="W606">
        <v>0</v>
      </c>
      <c r="X606">
        <v>0</v>
      </c>
      <c r="Y606">
        <v>0</v>
      </c>
      <c r="Z606">
        <v>0</v>
      </c>
      <c r="AA606">
        <v>0</v>
      </c>
      <c r="AB606">
        <v>0</v>
      </c>
      <c r="AC606">
        <v>0</v>
      </c>
      <c r="AD606">
        <v>0</v>
      </c>
      <c r="AE606">
        <v>0</v>
      </c>
      <c r="AF606">
        <v>0</v>
      </c>
      <c r="AG606">
        <v>0</v>
      </c>
      <c r="AH606">
        <v>0</v>
      </c>
      <c r="AI606">
        <v>0</v>
      </c>
      <c r="AJ606">
        <v>0</v>
      </c>
      <c r="AK606">
        <v>0</v>
      </c>
      <c r="AL606">
        <v>0</v>
      </c>
      <c r="AM606">
        <v>0</v>
      </c>
      <c r="AN606">
        <v>0</v>
      </c>
      <c r="AO606">
        <v>0</v>
      </c>
      <c r="AP606">
        <v>1</v>
      </c>
    </row>
    <row r="607" spans="4:42" x14ac:dyDescent="0.45">
      <c r="D607">
        <v>2026</v>
      </c>
      <c r="E607">
        <v>3</v>
      </c>
      <c r="F607">
        <v>5701000</v>
      </c>
      <c r="G607">
        <v>496177.24</v>
      </c>
      <c r="H607">
        <v>399181.46</v>
      </c>
      <c r="I607">
        <v>86795.48</v>
      </c>
      <c r="J607">
        <v>9339.36</v>
      </c>
      <c r="K607">
        <v>38</v>
      </c>
      <c r="L607">
        <v>0</v>
      </c>
      <c r="M607">
        <v>74</v>
      </c>
      <c r="N607">
        <v>0</v>
      </c>
      <c r="O607">
        <v>11</v>
      </c>
      <c r="P607">
        <v>8427.92</v>
      </c>
      <c r="Q607">
        <v>121.25</v>
      </c>
      <c r="R607">
        <v>118.82</v>
      </c>
      <c r="S607">
        <v>0</v>
      </c>
      <c r="T607">
        <v>0</v>
      </c>
      <c r="U607">
        <v>1</v>
      </c>
      <c r="V607">
        <v>0</v>
      </c>
      <c r="W607">
        <v>0</v>
      </c>
      <c r="X607">
        <v>0</v>
      </c>
      <c r="Y607">
        <v>0</v>
      </c>
      <c r="Z607">
        <v>0</v>
      </c>
      <c r="AA607">
        <v>0</v>
      </c>
      <c r="AB607">
        <v>0</v>
      </c>
      <c r="AC607">
        <v>0</v>
      </c>
      <c r="AD607">
        <v>1</v>
      </c>
      <c r="AE607">
        <v>0</v>
      </c>
      <c r="AF607">
        <v>0</v>
      </c>
      <c r="AG607">
        <v>0</v>
      </c>
      <c r="AH607">
        <v>0</v>
      </c>
      <c r="AI607">
        <v>0</v>
      </c>
      <c r="AJ607">
        <v>0</v>
      </c>
      <c r="AK607">
        <v>0</v>
      </c>
      <c r="AL607">
        <v>0</v>
      </c>
      <c r="AM607">
        <v>0</v>
      </c>
      <c r="AN607">
        <v>0</v>
      </c>
      <c r="AO607">
        <v>0</v>
      </c>
      <c r="AP607">
        <v>0</v>
      </c>
    </row>
    <row r="608" spans="4:42" x14ac:dyDescent="0.45">
      <c r="D608">
        <v>2026</v>
      </c>
      <c r="E608">
        <v>3</v>
      </c>
      <c r="F608">
        <v>4988000</v>
      </c>
      <c r="G608">
        <v>437155.37</v>
      </c>
      <c r="H608">
        <v>345584.94</v>
      </c>
      <c r="I608">
        <v>85275.62</v>
      </c>
      <c r="J608">
        <v>3885.67</v>
      </c>
      <c r="K608">
        <v>33</v>
      </c>
      <c r="L608">
        <v>3</v>
      </c>
      <c r="M608">
        <v>57</v>
      </c>
      <c r="N608">
        <v>0</v>
      </c>
      <c r="O608">
        <v>12</v>
      </c>
      <c r="P608">
        <v>9535.92</v>
      </c>
      <c r="Q608">
        <v>124.86</v>
      </c>
      <c r="R608">
        <v>118.83</v>
      </c>
      <c r="S608">
        <v>0</v>
      </c>
      <c r="T608">
        <v>0</v>
      </c>
      <c r="U608">
        <v>1</v>
      </c>
      <c r="V608">
        <v>0</v>
      </c>
      <c r="W608">
        <v>0</v>
      </c>
      <c r="X608">
        <v>0</v>
      </c>
      <c r="Y608">
        <v>0</v>
      </c>
      <c r="Z608">
        <v>0</v>
      </c>
      <c r="AA608">
        <v>0</v>
      </c>
      <c r="AB608">
        <v>0</v>
      </c>
      <c r="AC608">
        <v>0</v>
      </c>
      <c r="AD608">
        <v>0</v>
      </c>
      <c r="AE608">
        <v>0</v>
      </c>
      <c r="AF608">
        <v>0</v>
      </c>
      <c r="AG608">
        <v>0</v>
      </c>
      <c r="AH608">
        <v>0</v>
      </c>
      <c r="AI608">
        <v>0</v>
      </c>
      <c r="AJ608">
        <v>0</v>
      </c>
      <c r="AK608">
        <v>0</v>
      </c>
      <c r="AL608">
        <v>1</v>
      </c>
      <c r="AM608">
        <v>0</v>
      </c>
      <c r="AN608">
        <v>0</v>
      </c>
      <c r="AO608">
        <v>0</v>
      </c>
      <c r="AP608">
        <v>0</v>
      </c>
    </row>
    <row r="609" spans="4:42" x14ac:dyDescent="0.45">
      <c r="D609">
        <v>2026</v>
      </c>
      <c r="E609">
        <v>3</v>
      </c>
      <c r="F609">
        <v>7364000</v>
      </c>
      <c r="G609">
        <v>817404.59</v>
      </c>
      <c r="H609">
        <v>309080.96000000002</v>
      </c>
      <c r="I609">
        <v>336267.65</v>
      </c>
      <c r="J609">
        <v>165886.87</v>
      </c>
      <c r="K609">
        <v>31</v>
      </c>
      <c r="L609">
        <v>1</v>
      </c>
      <c r="M609">
        <v>69</v>
      </c>
      <c r="N609">
        <v>0</v>
      </c>
      <c r="O609">
        <v>10</v>
      </c>
      <c r="P609">
        <v>12614.48</v>
      </c>
      <c r="Q609">
        <v>119.52</v>
      </c>
      <c r="R609">
        <v>119.27</v>
      </c>
      <c r="S609">
        <v>0</v>
      </c>
      <c r="T609">
        <v>0</v>
      </c>
      <c r="U609">
        <v>1</v>
      </c>
      <c r="V609">
        <v>0</v>
      </c>
      <c r="W609">
        <v>0</v>
      </c>
      <c r="X609">
        <v>0</v>
      </c>
      <c r="Y609">
        <v>0</v>
      </c>
      <c r="Z609">
        <v>0</v>
      </c>
      <c r="AA609">
        <v>0</v>
      </c>
      <c r="AB609">
        <v>0</v>
      </c>
      <c r="AC609">
        <v>0</v>
      </c>
      <c r="AD609">
        <v>0</v>
      </c>
      <c r="AE609">
        <v>0</v>
      </c>
      <c r="AF609">
        <v>0</v>
      </c>
      <c r="AG609">
        <v>0</v>
      </c>
      <c r="AH609">
        <v>1</v>
      </c>
      <c r="AI609">
        <v>0</v>
      </c>
      <c r="AJ609">
        <v>0</v>
      </c>
      <c r="AK609">
        <v>0</v>
      </c>
      <c r="AL609">
        <v>0</v>
      </c>
      <c r="AM609">
        <v>0</v>
      </c>
      <c r="AN609">
        <v>0</v>
      </c>
      <c r="AO609">
        <v>0</v>
      </c>
      <c r="AP609">
        <v>0</v>
      </c>
    </row>
    <row r="610" spans="4:42" x14ac:dyDescent="0.45">
      <c r="D610">
        <v>2026</v>
      </c>
      <c r="E610">
        <v>3</v>
      </c>
      <c r="F610">
        <v>8670000</v>
      </c>
      <c r="G610">
        <v>805088.2</v>
      </c>
      <c r="H610">
        <v>390301.16</v>
      </c>
      <c r="I610">
        <v>392399.56</v>
      </c>
      <c r="J610">
        <v>37773.43</v>
      </c>
      <c r="K610">
        <v>46</v>
      </c>
      <c r="L610">
        <v>4</v>
      </c>
      <c r="M610">
        <v>62</v>
      </c>
      <c r="N610">
        <v>2</v>
      </c>
      <c r="O610">
        <v>14</v>
      </c>
      <c r="P610">
        <v>39708.54</v>
      </c>
      <c r="Q610">
        <v>120.61</v>
      </c>
      <c r="R610">
        <v>119.44</v>
      </c>
      <c r="S610">
        <v>0</v>
      </c>
      <c r="T610">
        <v>0</v>
      </c>
      <c r="U610">
        <v>1</v>
      </c>
      <c r="V610">
        <v>0</v>
      </c>
      <c r="W610">
        <v>0</v>
      </c>
      <c r="X610">
        <v>0</v>
      </c>
      <c r="Y610">
        <v>0</v>
      </c>
      <c r="Z610">
        <v>0</v>
      </c>
      <c r="AA610">
        <v>0</v>
      </c>
      <c r="AB610">
        <v>0</v>
      </c>
      <c r="AC610">
        <v>0</v>
      </c>
      <c r="AD610">
        <v>0</v>
      </c>
      <c r="AE610">
        <v>0</v>
      </c>
      <c r="AF610">
        <v>0</v>
      </c>
      <c r="AG610">
        <v>1</v>
      </c>
      <c r="AH610">
        <v>0</v>
      </c>
      <c r="AI610">
        <v>0</v>
      </c>
      <c r="AJ610">
        <v>0</v>
      </c>
      <c r="AK610">
        <v>0</v>
      </c>
      <c r="AL610">
        <v>0</v>
      </c>
      <c r="AM610">
        <v>0</v>
      </c>
      <c r="AN610">
        <v>0</v>
      </c>
      <c r="AO610">
        <v>0</v>
      </c>
      <c r="AP610">
        <v>0</v>
      </c>
    </row>
    <row r="611" spans="4:42" x14ac:dyDescent="0.45">
      <c r="D611">
        <v>2026</v>
      </c>
      <c r="E611">
        <v>3</v>
      </c>
      <c r="F611">
        <v>29692000</v>
      </c>
      <c r="G611">
        <v>3117515.07</v>
      </c>
      <c r="H611">
        <v>2038649.78</v>
      </c>
      <c r="I611">
        <v>668569.99</v>
      </c>
      <c r="J611">
        <v>390364.31</v>
      </c>
      <c r="K611">
        <v>219</v>
      </c>
      <c r="L611">
        <v>16</v>
      </c>
      <c r="M611">
        <v>1241</v>
      </c>
      <c r="N611">
        <v>6</v>
      </c>
      <c r="O611">
        <v>32</v>
      </c>
      <c r="P611">
        <v>428183.34</v>
      </c>
      <c r="Q611">
        <v>120.19</v>
      </c>
      <c r="R611">
        <v>118.98</v>
      </c>
      <c r="S611">
        <v>0</v>
      </c>
      <c r="T611">
        <v>0</v>
      </c>
      <c r="U611">
        <v>1</v>
      </c>
      <c r="V611">
        <v>0</v>
      </c>
      <c r="W611">
        <v>0</v>
      </c>
      <c r="X611">
        <v>0</v>
      </c>
      <c r="Y611">
        <v>0</v>
      </c>
      <c r="Z611">
        <v>0</v>
      </c>
      <c r="AA611">
        <v>0</v>
      </c>
      <c r="AB611">
        <v>0</v>
      </c>
      <c r="AC611">
        <v>0</v>
      </c>
      <c r="AD611">
        <v>0</v>
      </c>
      <c r="AE611">
        <v>0</v>
      </c>
      <c r="AF611">
        <v>0</v>
      </c>
      <c r="AG611">
        <v>0</v>
      </c>
      <c r="AH611">
        <v>0</v>
      </c>
      <c r="AI611">
        <v>0</v>
      </c>
      <c r="AJ611">
        <v>0</v>
      </c>
      <c r="AK611">
        <v>0</v>
      </c>
      <c r="AL611">
        <v>0</v>
      </c>
      <c r="AM611">
        <v>1</v>
      </c>
      <c r="AN611">
        <v>0</v>
      </c>
      <c r="AO611">
        <v>0</v>
      </c>
      <c r="AP611">
        <v>0</v>
      </c>
    </row>
    <row r="612" spans="4:42" x14ac:dyDescent="0.45">
      <c r="D612">
        <v>2026</v>
      </c>
      <c r="E612">
        <v>3</v>
      </c>
      <c r="F612">
        <v>26129000</v>
      </c>
      <c r="G612">
        <v>2559330.75</v>
      </c>
      <c r="H612">
        <v>1895803.82</v>
      </c>
      <c r="I612">
        <v>584022.5</v>
      </c>
      <c r="J612">
        <v>26160.78</v>
      </c>
      <c r="K612">
        <v>187</v>
      </c>
      <c r="L612">
        <v>12</v>
      </c>
      <c r="M612">
        <v>848</v>
      </c>
      <c r="N612">
        <v>6</v>
      </c>
      <c r="O612">
        <v>25</v>
      </c>
      <c r="P612">
        <v>174335</v>
      </c>
      <c r="Q612">
        <v>122.31</v>
      </c>
      <c r="R612">
        <v>118.49</v>
      </c>
      <c r="S612">
        <v>0</v>
      </c>
      <c r="T612">
        <v>0</v>
      </c>
      <c r="U612">
        <v>1</v>
      </c>
      <c r="V612">
        <v>0</v>
      </c>
      <c r="W612">
        <v>0</v>
      </c>
      <c r="X612">
        <v>0</v>
      </c>
      <c r="Y612">
        <v>0</v>
      </c>
      <c r="Z612">
        <v>0</v>
      </c>
      <c r="AA612">
        <v>0</v>
      </c>
      <c r="AB612">
        <v>0</v>
      </c>
      <c r="AC612">
        <v>0</v>
      </c>
      <c r="AD612">
        <v>0</v>
      </c>
      <c r="AE612">
        <v>0</v>
      </c>
      <c r="AF612">
        <v>1</v>
      </c>
      <c r="AG612">
        <v>0</v>
      </c>
      <c r="AH612">
        <v>0</v>
      </c>
      <c r="AI612">
        <v>0</v>
      </c>
      <c r="AJ612">
        <v>0</v>
      </c>
      <c r="AK612">
        <v>0</v>
      </c>
      <c r="AL612">
        <v>0</v>
      </c>
      <c r="AM612">
        <v>0</v>
      </c>
      <c r="AN612">
        <v>0</v>
      </c>
      <c r="AO612">
        <v>0</v>
      </c>
      <c r="AP612">
        <v>0</v>
      </c>
    </row>
    <row r="613" spans="4:42" x14ac:dyDescent="0.45">
      <c r="D613">
        <v>2026</v>
      </c>
      <c r="E613">
        <v>3</v>
      </c>
      <c r="F613">
        <v>9501000</v>
      </c>
      <c r="G613">
        <v>786928.94</v>
      </c>
      <c r="H613">
        <v>507342.48</v>
      </c>
      <c r="I613">
        <v>270883.20000000001</v>
      </c>
      <c r="J613">
        <v>14980.2</v>
      </c>
      <c r="K613">
        <v>64</v>
      </c>
      <c r="L613">
        <v>3</v>
      </c>
      <c r="M613">
        <v>101</v>
      </c>
      <c r="N613">
        <v>5</v>
      </c>
      <c r="O613">
        <v>20</v>
      </c>
      <c r="P613">
        <v>110809.72</v>
      </c>
      <c r="Q613">
        <v>121.19</v>
      </c>
      <c r="R613">
        <v>119.25</v>
      </c>
      <c r="S613">
        <v>0</v>
      </c>
      <c r="T613">
        <v>0</v>
      </c>
      <c r="U613">
        <v>1</v>
      </c>
      <c r="V613">
        <v>0</v>
      </c>
      <c r="W613">
        <v>0</v>
      </c>
      <c r="X613">
        <v>0</v>
      </c>
      <c r="Y613">
        <v>0</v>
      </c>
      <c r="Z613">
        <v>0</v>
      </c>
      <c r="AA613">
        <v>0</v>
      </c>
      <c r="AB613">
        <v>0</v>
      </c>
      <c r="AC613">
        <v>0</v>
      </c>
      <c r="AD613">
        <v>0</v>
      </c>
      <c r="AE613">
        <v>0</v>
      </c>
      <c r="AF613">
        <v>0</v>
      </c>
      <c r="AG613">
        <v>0</v>
      </c>
      <c r="AH613">
        <v>0</v>
      </c>
      <c r="AI613">
        <v>0</v>
      </c>
      <c r="AJ613">
        <v>1</v>
      </c>
      <c r="AK613">
        <v>0</v>
      </c>
      <c r="AL613">
        <v>0</v>
      </c>
      <c r="AM613">
        <v>0</v>
      </c>
      <c r="AN613">
        <v>0</v>
      </c>
      <c r="AO613">
        <v>0</v>
      </c>
      <c r="AP613">
        <v>0</v>
      </c>
    </row>
    <row r="614" spans="4:42" x14ac:dyDescent="0.45">
      <c r="D614">
        <v>2026</v>
      </c>
      <c r="E614">
        <v>3</v>
      </c>
      <c r="F614">
        <v>4157000</v>
      </c>
      <c r="G614">
        <v>378437.44</v>
      </c>
      <c r="H614">
        <v>316632.7</v>
      </c>
      <c r="I614">
        <v>56631</v>
      </c>
      <c r="J614">
        <v>6097.09</v>
      </c>
      <c r="K614">
        <v>29</v>
      </c>
      <c r="L614">
        <v>4</v>
      </c>
      <c r="M614">
        <v>40</v>
      </c>
      <c r="N614">
        <v>2</v>
      </c>
      <c r="O614">
        <v>15</v>
      </c>
      <c r="P614">
        <v>20354.080000000002</v>
      </c>
      <c r="Q614">
        <v>118.41</v>
      </c>
      <c r="R614">
        <v>118.53</v>
      </c>
      <c r="S614">
        <v>0</v>
      </c>
      <c r="T614">
        <v>0</v>
      </c>
      <c r="U614">
        <v>1</v>
      </c>
      <c r="V614">
        <v>0</v>
      </c>
      <c r="W614">
        <v>0</v>
      </c>
      <c r="X614">
        <v>0</v>
      </c>
      <c r="Y614">
        <v>0</v>
      </c>
      <c r="Z614">
        <v>0</v>
      </c>
      <c r="AA614">
        <v>0</v>
      </c>
      <c r="AB614">
        <v>0</v>
      </c>
      <c r="AC614">
        <v>0</v>
      </c>
      <c r="AD614">
        <v>0</v>
      </c>
      <c r="AE614">
        <v>0</v>
      </c>
      <c r="AF614">
        <v>0</v>
      </c>
      <c r="AG614">
        <v>0</v>
      </c>
      <c r="AH614">
        <v>0</v>
      </c>
      <c r="AI614">
        <v>0</v>
      </c>
      <c r="AJ614">
        <v>0</v>
      </c>
      <c r="AK614">
        <v>0</v>
      </c>
      <c r="AL614">
        <v>0</v>
      </c>
      <c r="AM614">
        <v>0</v>
      </c>
      <c r="AN614">
        <v>0</v>
      </c>
      <c r="AO614">
        <v>0</v>
      </c>
      <c r="AP614">
        <v>0</v>
      </c>
    </row>
  </sheetData>
  <mergeCells count="3">
    <mergeCell ref="A1:B1"/>
    <mergeCell ref="B5:B6"/>
    <mergeCell ref="A5:A6"/>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D1136FC8-336F-4182-8309-3D9502D626BC}">
  <ds:schemaRefs/>
</ds:datastoreItem>
</file>

<file path=customXml/itemProps2.xml><?xml version="1.0" encoding="utf-8"?>
<ds:datastoreItem xmlns:ds="http://schemas.openxmlformats.org/officeDocument/2006/customXml" ds:itemID="{932C3E97-B749-4B6D-8A64-E0E14A999A80}">
  <ds:schemaRefs/>
</ds:datastoreItem>
</file>

<file path=customXml/itemProps3.xml><?xml version="1.0" encoding="utf-8"?>
<ds:datastoreItem xmlns:ds="http://schemas.openxmlformats.org/officeDocument/2006/customXml" ds:itemID="{64E1177C-546C-4A33-987F-3593A74A3653}">
  <ds:schemaRefs/>
</ds:datastoreItem>
</file>

<file path=customXml/itemProps4.xml><?xml version="1.0" encoding="utf-8"?>
<ds:datastoreItem xmlns:ds="http://schemas.openxmlformats.org/officeDocument/2006/customXml" ds:itemID="{DC81E574-C32F-4DD6-8611-B265F87F73C5}">
  <ds:schemaRefs/>
</ds:datastoreItem>
</file>

<file path=customXml/itemProps5.xml><?xml version="1.0" encoding="utf-8"?>
<ds:datastoreItem xmlns:ds="http://schemas.openxmlformats.org/officeDocument/2006/customXml" ds:itemID="{FA81BA15-19AD-4C38-A24B-F6E09A4BEDAD}">
  <ds:schemaRefs/>
</ds:datastoreItem>
</file>

<file path=customXml/itemProps6.xml><?xml version="1.0" encoding="utf-8"?>
<ds:datastoreItem xmlns:ds="http://schemas.openxmlformats.org/officeDocument/2006/customXml" ds:itemID="{43DD7CA3-B4F6-4E9B-9F5A-92F57FF747D9}">
  <ds:schemaRefs/>
</ds:datastoreItem>
</file>

<file path=customXml/itemProps7.xml><?xml version="1.0" encoding="utf-8"?>
<ds:datastoreItem xmlns:ds="http://schemas.openxmlformats.org/officeDocument/2006/customXml" ds:itemID="{3E2590FD-60DA-421B-B7BF-A215FD37571E}">
  <ds:schemaRefs/>
</ds:datastoreItem>
</file>

<file path=customXml/itemProps8.xml><?xml version="1.0" encoding="utf-8"?>
<ds:datastoreItem xmlns:ds="http://schemas.openxmlformats.org/officeDocument/2006/customXml" ds:itemID="{78A1A77F-7C8B-4B9B-AB7F-23C021404877}">
  <ds:schemaRefs/>
</ds:datastoreItem>
</file>

<file path=customXml/itemProps9.xml><?xml version="1.0" encoding="utf-8"?>
<ds:datastoreItem xmlns:ds="http://schemas.openxmlformats.org/officeDocument/2006/customXml" ds:itemID="{68EA5852-647B-4960-B0BA-DDA8C6546C8F}">
  <ds:schemaRefs/>
</ds:datastoreItem>
</file>

<file path=customXml/itemProps10.xml><?xml version="1.0" encoding="utf-8"?>
<ds:datastoreItem xmlns:ds="http://schemas.openxmlformats.org/officeDocument/2006/customXml" ds:itemID="{E016D1FE-0E5F-42E2-8444-F5B548F56C65}">
  <ds:schemaRefs/>
</ds:datastoreItem>
</file>

<file path=customXml/itemProps11.xml><?xml version="1.0" encoding="utf-8"?>
<ds:datastoreItem xmlns:ds="http://schemas.openxmlformats.org/officeDocument/2006/customXml" ds:itemID="{CFFFD737-9B81-4556-8CDE-05E733324918}">
  <ds:schemaRefs/>
</ds:datastoreItem>
</file>

<file path=customXml/itemProps12.xml><?xml version="1.0" encoding="utf-8"?>
<ds:datastoreItem xmlns:ds="http://schemas.openxmlformats.org/officeDocument/2006/customXml" ds:itemID="{8B9AC528-C450-435F-9CA8-6929E76D14CA}">
  <ds:schemaRefs/>
</ds:datastoreItem>
</file>

<file path=customXml/itemProps13.xml><?xml version="1.0" encoding="utf-8"?>
<ds:datastoreItem xmlns:ds="http://schemas.openxmlformats.org/officeDocument/2006/customXml" ds:itemID="{5FAE299B-326B-43C5-81D3-E1B9123F6469}">
  <ds:schemaRefs/>
</ds:datastoreItem>
</file>

<file path=customXml/itemProps14.xml><?xml version="1.0" encoding="utf-8"?>
<ds:datastoreItem xmlns:ds="http://schemas.openxmlformats.org/officeDocument/2006/customXml" ds:itemID="{2CB24FF9-E1B5-4C21-9FD4-D149AE312AF2}">
  <ds:schemaRefs>
    <ds:schemaRef ds:uri="http://schemas.microsoft.com/DataMashup"/>
  </ds:schemaRefs>
</ds:datastoreItem>
</file>

<file path=customXml/itemProps15.xml><?xml version="1.0" encoding="utf-8"?>
<ds:datastoreItem xmlns:ds="http://schemas.openxmlformats.org/officeDocument/2006/customXml" ds:itemID="{D4953C9F-2463-4851-A545-EF425A880A20}">
  <ds:schemaRefs/>
</ds:datastoreItem>
</file>

<file path=customXml/itemProps16.xml><?xml version="1.0" encoding="utf-8"?>
<ds:datastoreItem xmlns:ds="http://schemas.openxmlformats.org/officeDocument/2006/customXml" ds:itemID="{61C7F2CD-96A7-4B99-AEF4-91A0CDD76B38}">
  <ds:schemaRefs/>
</ds:datastoreItem>
</file>

<file path=customXml/itemProps17.xml><?xml version="1.0" encoding="utf-8"?>
<ds:datastoreItem xmlns:ds="http://schemas.openxmlformats.org/officeDocument/2006/customXml" ds:itemID="{5D1F7AD5-914B-4DCA-A28A-91C9FB61873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Deparment_Spending</vt:lpstr>
      <vt:lpstr>Cleaned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Robin John</dc:creator>
  <cp:lastModifiedBy>Robin John</cp:lastModifiedBy>
  <dcterms:created xsi:type="dcterms:W3CDTF">2026-10-17T01:50:57Z</dcterms:created>
  <dcterms:modified xsi:type="dcterms:W3CDTF">2026-10-17T19:11:19Z</dcterms:modified>
</cp:coreProperties>
</file>